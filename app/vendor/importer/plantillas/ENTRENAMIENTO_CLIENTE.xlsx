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_rels/workbook.xml.rels" ContentType="application/vnd.openxmlformats-package.relationships+xml"/>
  <Override PartName="/xl/media/image56.png" ContentType="image/png"/>
  <Override PartName="/xl/media/image55.png" ContentType="image/png"/>
  <Override PartName="/xl/media/image54.png" ContentType="image/png"/>
  <Override PartName="/xl/media/image53.png" ContentType="image/png"/>
  <Override PartName="/xl/media/image52.png" ContentType="image/png"/>
  <Override PartName="/xl/media/image51.png" ContentType="image/png"/>
  <Override PartName="/xl/media/image50.png" ContentType="image/png"/>
  <Override PartName="/xl/media/image47.png" ContentType="image/png"/>
  <Override PartName="/xl/media/image10.png" ContentType="image/png"/>
  <Override PartName="/xl/media/image1.png" ContentType="image/png"/>
  <Override PartName="/xl/media/image33.png" ContentType="image/png"/>
  <Override PartName="/xl/media/image38.png" ContentType="image/png"/>
  <Override PartName="/xl/media/image6.png" ContentType="image/png"/>
  <Override PartName="/xl/media/image15.png" ContentType="image/png"/>
  <Override PartName="/xl/media/image37.png" ContentType="image/png"/>
  <Override PartName="/xl/media/image5.png" ContentType="image/png"/>
  <Override PartName="/xl/media/image14.png" ContentType="image/png"/>
  <Override PartName="/xl/media/image19.png" ContentType="image/png"/>
  <Override PartName="/xl/media/image61.png" ContentType="image/png"/>
  <Override PartName="/xl/media/image21.png" ContentType="image/png"/>
  <Override PartName="/xl/media/image58.png" ContentType="image/png"/>
  <Override PartName="/xl/media/image22.png" ContentType="image/png"/>
  <Override PartName="/xl/media/image59.png" ContentType="image/png"/>
  <Override PartName="/xl/media/image66.png" ContentType="image/png"/>
  <Override PartName="/xl/media/image29.png" ContentType="image/png"/>
  <Override PartName="/xl/media/image65.png" ContentType="image/png"/>
  <Override PartName="/xl/media/image28.png" ContentType="image/png"/>
  <Override PartName="/xl/media/image64.png" ContentType="image/png"/>
  <Override PartName="/xl/media/image27.png" ContentType="image/png"/>
  <Override PartName="/xl/media/image63.png" ContentType="image/png"/>
  <Override PartName="/xl/media/image26.png" ContentType="image/png"/>
  <Override PartName="/xl/media/image23.png" ContentType="image/png"/>
  <Override PartName="/xl/media/image60.png" ContentType="image/png"/>
  <Override PartName="/xl/media/image62.png" ContentType="image/png"/>
  <Override PartName="/xl/media/image25.png" ContentType="image/png"/>
  <Override PartName="/xl/media/image24.png" ContentType="image/png"/>
  <Override PartName="/xl/media/image16.png" ContentType="image/png"/>
  <Override PartName="/xl/media/image7.png" ContentType="image/png"/>
  <Override PartName="/xl/media/image39.png" ContentType="image/png"/>
  <Override PartName="/xl/media/image34.png" ContentType="image/png"/>
  <Override PartName="/xl/media/image2.png" ContentType="image/png"/>
  <Override PartName="/xl/media/image11.png" ContentType="image/png"/>
  <Override PartName="/xl/media/image48.png" ContentType="image/png"/>
  <Override PartName="/xl/media/image17.png" ContentType="image/png"/>
  <Override PartName="/xl/media/image8.png" ContentType="image/png"/>
  <Override PartName="/xl/media/image35.png" ContentType="image/png"/>
  <Override PartName="/xl/media/image3.png" ContentType="image/png"/>
  <Override PartName="/xl/media/image12.png" ContentType="image/png"/>
  <Override PartName="/xl/media/image49.png" ContentType="image/png"/>
  <Override PartName="/xl/media/image20.png" ContentType="image/png"/>
  <Override PartName="/xl/media/image57.png" ContentType="image/png"/>
  <Override PartName="/xl/media/image18.png" ContentType="image/png"/>
  <Override PartName="/xl/media/image9.png" ContentType="image/png"/>
  <Override PartName="/xl/media/image36.png" ContentType="image/png"/>
  <Override PartName="/xl/media/image4.png" ContentType="image/png"/>
  <Override PartName="/xl/media/image13.png" ContentType="image/png"/>
  <Override PartName="/xl/media/image30.png" ContentType="image/png"/>
  <Override PartName="/xl/media/image31.png" ContentType="image/png"/>
  <Override PartName="/xl/media/image32.png" ContentType="image/png"/>
  <Override PartName="/xl/media/image40.png" ContentType="image/png"/>
  <Override PartName="/xl/media/image41.png" ContentType="image/png"/>
  <Override PartName="/xl/media/image42.png" ContentType="image/png"/>
  <Override PartName="/xl/media/image43.png" ContentType="image/png"/>
  <Override PartName="/xl/media/image44.png" ContentType="image/png"/>
  <Override PartName="/xl/media/image45.png" ContentType="image/png"/>
  <Override PartName="/xl/media/image4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ía A" sheetId="2" state="visible" r:id="rId4"/>
    <sheet name="Día B" sheetId="3" state="visible" r:id="rId5"/>
    <sheet name="Día C" sheetId="4" state="visible" r:id="rId6"/>
    <sheet name="Día D" sheetId="5" state="visible" r:id="rId7"/>
    <sheet name="Check-in semanal" sheetId="6" state="visible" r:id="rId8"/>
    <sheet name="Biblioteca" sheetId="7" state="visible" r:id="rId9"/>
  </sheets>
  <definedNames>
    <definedName function="false" hidden="true" localSheetId="6" name="_xlnm._FilterDatabase" vbProcedure="false">Biblioteca!$B$5:$G$150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<sst xmlns="http://schemas.openxmlformats.org/spreadsheetml/2006/main" count="694" uniqueCount="218">
  <si>
    <t xml:space="preserve">PLAN DE ENTRENAMIENTO · MESOCICLO</t>
  </si>
  <si>
    <t xml:space="preserve">Tactical Biscuit Training  ·  Bloque de 4 semanas</t>
  </si>
  <si>
    <t xml:space="preserve">  DATOS DEL CLIENTE</t>
  </si>
  <si>
    <t xml:space="preserve">Cliente</t>
  </si>
  <si>
    <t xml:space="preserve">Entrenador</t>
  </si>
  <si>
    <t xml:space="preserve">Objetivo</t>
  </si>
  <si>
    <t xml:space="preserve">Robert</t>
  </si>
  <si>
    <t xml:space="preserve">Nivel</t>
  </si>
  <si>
    <t xml:space="preserve">Fecha de inicio</t>
  </si>
  <si>
    <t xml:space="preserve">Fin del mesociclo</t>
  </si>
  <si>
    <t xml:space="preserve">Días / semana</t>
  </si>
  <si>
    <t xml:space="preserve">Mesociclo nº</t>
  </si>
  <si>
    <t xml:space="preserve">  PLANIFICACIÓN DE LAS 4 SEMANAS</t>
  </si>
  <si>
    <t xml:space="preserve">SEMANA</t>
  </si>
  <si>
    <t xml:space="preserve">FECHAS</t>
  </si>
  <si>
    <t xml:space="preserve">FASE</t>
  </si>
  <si>
    <t xml:space="preserve">RIR OBJETIVO</t>
  </si>
  <si>
    <t xml:space="preserve">VOLUMEN</t>
  </si>
  <si>
    <t xml:space="preserve">INTENSIDAD</t>
  </si>
  <si>
    <t xml:space="preserve">NOTAS</t>
  </si>
  <si>
    <t xml:space="preserve">Semana 1</t>
  </si>
  <si>
    <t xml:space="preserve">Adaptación</t>
  </si>
  <si>
    <t xml:space="preserve">Base</t>
  </si>
  <si>
    <t xml:space="preserve">Moderada</t>
  </si>
  <si>
    <t xml:space="preserve">Semana 2</t>
  </si>
  <si>
    <t xml:space="preserve">Progresión</t>
  </si>
  <si>
    <t xml:space="preserve">+1 serie en básicos</t>
  </si>
  <si>
    <t xml:space="preserve">Moderada-alta</t>
  </si>
  <si>
    <t xml:space="preserve">Semana 3</t>
  </si>
  <si>
    <t xml:space="preserve">Intensificación</t>
  </si>
  <si>
    <t xml:space="preserve">Mantener</t>
  </si>
  <si>
    <t xml:space="preserve">Alta</t>
  </si>
  <si>
    <t xml:space="preserve">Semana 4</t>
  </si>
  <si>
    <t xml:space="preserve">Descarga</t>
  </si>
  <si>
    <t xml:space="preserve">−40 % series</t>
  </si>
  <si>
    <t xml:space="preserve">Baja</t>
  </si>
  <si>
    <t xml:space="preserve">  ESTRUCTURA SEMANAL</t>
  </si>
  <si>
    <t xml:space="preserve">SESIÓN</t>
  </si>
  <si>
    <t xml:space="preserve">DÍA DE LA SEMANA</t>
  </si>
  <si>
    <t xml:space="preserve">ENFOQUE / GRUPOS MUSCULARES</t>
  </si>
  <si>
    <t xml:space="preserve">DURACIÓN (min)</t>
  </si>
  <si>
    <t xml:space="preserve">MATERIAL / LUGAR</t>
  </si>
  <si>
    <t xml:space="preserve">Día A</t>
  </si>
  <si>
    <t xml:space="preserve">Día B</t>
  </si>
  <si>
    <t xml:space="preserve">Día C</t>
  </si>
  <si>
    <t xml:space="preserve">Día D</t>
  </si>
  <si>
    <t xml:space="preserve">  CÓMO USAR ESTE PLAN</t>
  </si>
  <si>
    <t xml:space="preserve">Fondo AMARILLO</t>
  </si>
  <si>
    <t xml:space="preserve">Lo rellenas TÚ después de cada sesión: series, reps, kg y RIR reales, fecha y sensaciones.</t>
  </si>
  <si>
    <t xml:space="preserve">Fondo BLANCO</t>
  </si>
  <si>
    <t xml:space="preserve">Lo pauta el entrenador. No lo modifiques.</t>
  </si>
  <si>
    <t xml:space="preserve">RIR</t>
  </si>
  <si>
    <t xml:space="preserve">Repeticiones en reserva: cuántas reps más podrías haber hecho. 0 = al fallo · 1 = quedaba 1 · 3 = cómodo.</t>
  </si>
  <si>
    <t xml:space="preserve">Tempo (ej. 3-1-1-0)</t>
  </si>
  <si>
    <t xml:space="preserve">Segundos de bajada – pausa abajo – subida – pausa arriba.</t>
  </si>
  <si>
    <t xml:space="preserve">Si completas todas las reps con el RIR pautado, sube la carga la semana siguiente (2,5 – 5 %).</t>
  </si>
  <si>
    <t xml:space="preserve">▶ Vídeo</t>
  </si>
  <si>
    <t xml:space="preserve">En cada día, pulsa «▶ Vídeo» junto al ejercicio para ver cómo se hace. También puedes buscar cualquier ejercicio en la hoja Biblioteca.</t>
  </si>
  <si>
    <t xml:space="preserve">Ejemplo de registro</t>
  </si>
  <si>
    <t xml:space="preserve">Sentadilla trasera · Pauta 4 × 8 · 60 kg · RIR 2  →  Hecho: 4 series · 8-8-8-7 · 50-55-60-60 kg · RIR 1  (kg de cada serie separados por guiones y decimales con coma, p. ej. 25-27,5-30)</t>
  </si>
  <si>
    <t xml:space="preserve">PLAN DE ENTRENAMIENTO · DÍA A</t>
  </si>
  <si>
    <t xml:space="preserve">Tactical Biscuit Training</t>
  </si>
  <si>
    <t xml:space="preserve">Enfoque</t>
  </si>
  <si>
    <t xml:space="preserve">Día</t>
  </si>
  <si>
    <t xml:space="preserve">🟨 Amarillo = lo rellenas TÚ   ·   ⬜ Blanco = lo pauta el entrenador   ·   RIR: 0 = al fallo · 1 = quedaba 1 rep · 3 = cómodo</t>
  </si>
  <si>
    <t xml:space="preserve">  EJERCICIOS DEL DÍA</t>
  </si>
  <si>
    <t xml:space="preserve">Nº</t>
  </si>
  <si>
    <t xml:space="preserve">IMAGEN</t>
  </si>
  <si>
    <t xml:space="preserve">EJERCICIO</t>
  </si>
  <si>
    <t xml:space="preserve">GRUPO</t>
  </si>
  <si>
    <t xml:space="preserve">TEMPO</t>
  </si>
  <si>
    <t xml:space="preserve">DESCANSO</t>
  </si>
  <si>
    <t xml:space="preserve">INDICACIONES TÉCNICAS</t>
  </si>
  <si>
    <t xml:space="preserve">▶ VÍDEO</t>
  </si>
  <si>
    <t xml:space="preserve">📷</t>
  </si>
  <si>
    <t xml:space="preserve">  🔥 CALENTAMIENTO PREVIO</t>
  </si>
  <si>
    <t xml:space="preserve">Fecha realizada:</t>
  </si>
  <si>
    <t xml:space="preserve">Duración (min):</t>
  </si>
  <si>
    <t xml:space="preserve">Sensación general (1-10):</t>
  </si>
  <si>
    <t xml:space="preserve">PROGRAMADO (entrenador)</t>
  </si>
  <si>
    <t xml:space="preserve">REALIZADO (rellenas tú)</t>
  </si>
  <si>
    <t xml:space="preserve">Series</t>
  </si>
  <si>
    <t xml:space="preserve">Reps</t>
  </si>
  <si>
    <t xml:space="preserve">Kg obj.</t>
  </si>
  <si>
    <t xml:space="preserve">RIR obj.</t>
  </si>
  <si>
    <t xml:space="preserve">Kg</t>
  </si>
  <si>
    <t xml:space="preserve">NOTAS / SENSACIÓN</t>
  </si>
  <si>
    <t xml:space="preserve">  📈 PROGRESIÓN DE CARGAS (automática)</t>
  </si>
  <si>
    <t xml:space="preserve">Kg S1</t>
  </si>
  <si>
    <t xml:space="preserve">Kg S2</t>
  </si>
  <si>
    <t xml:space="preserve">Kg S3</t>
  </si>
  <si>
    <t xml:space="preserve">Kg S4</t>
  </si>
  <si>
    <t xml:space="preserve">Δ kg S1→S3</t>
  </si>
  <si>
    <t xml:space="preserve">Δ %</t>
  </si>
  <si>
    <t xml:space="preserve">LECTURA</t>
  </si>
  <si>
    <t xml:space="preserve">La semana 4 es de descarga: es normal que la carga baje. La comparación se hace entre S1 y S3. Se toma el peso de la última serie que apuntes.</t>
  </si>
  <si>
    <t xml:space="preserve">  🧘 VUELTA A LA CALMA / ESTIRAMIENTOS</t>
  </si>
  <si>
    <t xml:space="preserve">  📝 NOTAS Y SENSACIONES DE LA SEMANA (rellenas tú)</t>
  </si>
  <si>
    <t xml:space="preserve">  💬 INDICACIONES DEL ENTRENADOR</t>
  </si>
  <si>
    <t xml:space="preserve">PLAN DE ENTRENAMIENTO · DÍA B</t>
  </si>
  <si>
    <t xml:space="preserve">PLAN DE ENTRENAMIENTO · DÍA C</t>
  </si>
  <si>
    <t xml:space="preserve">PLAN DE ENTRENAMIENTO · DÍA D</t>
  </si>
  <si>
    <t xml:space="preserve">CHECK-IN SEMANAL</t>
  </si>
  <si>
    <t xml:space="preserve">Tactical Biscuit Training  ·  Rellénalo cada domingo y envíaselo a tu entrenador</t>
  </si>
  <si>
    <t xml:space="preserve">FECHA</t>
  </si>
  <si>
    <t xml:space="preserve">PESO MEDIO (kg)</t>
  </si>
  <si>
    <t xml:space="preserve">PASOS / DÍA</t>
  </si>
  <si>
    <t xml:space="preserve">SUEÑO (h)</t>
  </si>
  <si>
    <t xml:space="preserve">ENERGÍA (1-10)</t>
  </si>
  <si>
    <t xml:space="preserve">ESTRÉS (1-10)</t>
  </si>
  <si>
    <t xml:space="preserve">HAMBRE (1-10)</t>
  </si>
  <si>
    <t xml:space="preserve">DIETA CUMPLIDA (%)</t>
  </si>
  <si>
    <t xml:space="preserve">SESIONES HECHAS</t>
  </si>
  <si>
    <t xml:space="preserve">COMENTARIOS / DIFICULTADES</t>
  </si>
  <si>
    <t xml:space="preserve">Media</t>
  </si>
  <si>
    <t xml:space="preserve">Peso medio: pésate 3-4 mañanas en ayunas y anota la media.  Dieta cumplida: % aproximado de comidas que seguiste según el plan.  «Sesiones hechas» se calcula sola con las fechas que anotas en cada día.</t>
  </si>
  <si>
    <t xml:space="preserve">BIBLIOTECA DE EJERCICIOS</t>
  </si>
  <si>
    <t xml:space="preserve">Tactical Biscuit Training  ·  Busca un ejercicio, mira su imagen y pulsa «▶ Ver vídeo» para ver cómo se hace</t>
  </si>
  <si>
    <t xml:space="preserve">🔎 Busca un ejercicio:</t>
  </si>
  <si>
    <t xml:space="preserve">Escribe una palabra (ej.: remo, sentadilla, glúteo) y se marcan en amarillo</t>
  </si>
  <si>
    <t xml:space="preserve">MATERIAL</t>
  </si>
  <si>
    <t xml:space="preserve">ENLACE A TU VÍDEO (opcional)</t>
  </si>
  <si>
    <t xml:space="preserve">Pecho</t>
  </si>
  <si>
    <t xml:space="preserve">Press banca con barra</t>
  </si>
  <si>
    <t xml:space="preserve">Barra</t>
  </si>
  <si>
    <t xml:space="preserve">Press inclinado con mancuernas</t>
  </si>
  <si>
    <t xml:space="preserve">Mancuernas</t>
  </si>
  <si>
    <t xml:space="preserve">Press banca con mancuernas</t>
  </si>
  <si>
    <t xml:space="preserve">Aperturas en polea (cruce)</t>
  </si>
  <si>
    <t xml:space="preserve">Polea</t>
  </si>
  <si>
    <t xml:space="preserve">Press en máquina</t>
  </si>
  <si>
    <t xml:space="preserve">Máquina</t>
  </si>
  <si>
    <t xml:space="preserve">Fondos en paralelas</t>
  </si>
  <si>
    <t xml:space="preserve">Peso corporal</t>
  </si>
  <si>
    <t xml:space="preserve">Flexiones</t>
  </si>
  <si>
    <t xml:space="preserve">Espalda</t>
  </si>
  <si>
    <t xml:space="preserve">Dominadas</t>
  </si>
  <si>
    <t xml:space="preserve">Barra fija</t>
  </si>
  <si>
    <t xml:space="preserve">Jalón al pecho</t>
  </si>
  <si>
    <t xml:space="preserve">Remo con barra</t>
  </si>
  <si>
    <t xml:space="preserve">Remo con mancuerna a una mano</t>
  </si>
  <si>
    <t xml:space="preserve">Remo en polea baja</t>
  </si>
  <si>
    <t xml:space="preserve">Remo en máquina / T</t>
  </si>
  <si>
    <t xml:space="preserve">Pullover en polea</t>
  </si>
  <si>
    <t xml:space="preserve">Peso muerto convencional</t>
  </si>
  <si>
    <t xml:space="preserve">Hombro</t>
  </si>
  <si>
    <t xml:space="preserve">Press militar con barra</t>
  </si>
  <si>
    <t xml:space="preserve">Press de hombro con mancuernas</t>
  </si>
  <si>
    <t xml:space="preserve">Elevaciones laterales</t>
  </si>
  <si>
    <t xml:space="preserve">Elevaciones laterales en polea</t>
  </si>
  <si>
    <t xml:space="preserve">Pájaros / posterior en máquina</t>
  </si>
  <si>
    <t xml:space="preserve">Face pull</t>
  </si>
  <si>
    <t xml:space="preserve">Bíceps</t>
  </si>
  <si>
    <t xml:space="preserve">Curl con barra</t>
  </si>
  <si>
    <t xml:space="preserve">Curl alterno con mancuernas</t>
  </si>
  <si>
    <t xml:space="preserve">Curl martillo</t>
  </si>
  <si>
    <t xml:space="preserve">Curl en banco Scott</t>
  </si>
  <si>
    <t xml:space="preserve">Curl en polea</t>
  </si>
  <si>
    <t xml:space="preserve">Tríceps</t>
  </si>
  <si>
    <t xml:space="preserve">Extensión en polea con cuerda</t>
  </si>
  <si>
    <t xml:space="preserve">Press francés</t>
  </si>
  <si>
    <t xml:space="preserve">Barra Z</t>
  </si>
  <si>
    <t xml:space="preserve">Extensión sobre la cabeza</t>
  </si>
  <si>
    <t xml:space="preserve">Mancuerna</t>
  </si>
  <si>
    <t xml:space="preserve">Press banca agarre cerrado</t>
  </si>
  <si>
    <t xml:space="preserve">Fondos en banco</t>
  </si>
  <si>
    <t xml:space="preserve">Cuádriceps</t>
  </si>
  <si>
    <t xml:space="preserve">Sentadilla trasera</t>
  </si>
  <si>
    <t xml:space="preserve">Sentadilla goblet</t>
  </si>
  <si>
    <t xml:space="preserve">Mancuerna / Kettlebell</t>
  </si>
  <si>
    <t xml:space="preserve">Prensa de piernas</t>
  </si>
  <si>
    <t xml:space="preserve">Sentadilla búlgara</t>
  </si>
  <si>
    <t xml:space="preserve">Zancadas</t>
  </si>
  <si>
    <t xml:space="preserve">Extensión de cuádriceps</t>
  </si>
  <si>
    <t xml:space="preserve">Sentadilla hack</t>
  </si>
  <si>
    <t xml:space="preserve">Step-up al banco</t>
  </si>
  <si>
    <t xml:space="preserve">Isquios</t>
  </si>
  <si>
    <t xml:space="preserve">Peso muerto rumano</t>
  </si>
  <si>
    <t xml:space="preserve">Barra / Mancuernas</t>
  </si>
  <si>
    <t xml:space="preserve">Curl femoral tumbado</t>
  </si>
  <si>
    <t xml:space="preserve">Curl femoral sentado</t>
  </si>
  <si>
    <t xml:space="preserve">Buenos días</t>
  </si>
  <si>
    <t xml:space="preserve">Curl nórdico</t>
  </si>
  <si>
    <t xml:space="preserve">Glúteo</t>
  </si>
  <si>
    <t xml:space="preserve">Hip thrust</t>
  </si>
  <si>
    <t xml:space="preserve">Puente de glúteo</t>
  </si>
  <si>
    <t xml:space="preserve">Peso corporal / Barra</t>
  </si>
  <si>
    <t xml:space="preserve">Patada de glúteo en polea</t>
  </si>
  <si>
    <t xml:space="preserve">Abducción de cadera</t>
  </si>
  <si>
    <t xml:space="preserve">Máquina / Banda</t>
  </si>
  <si>
    <t xml:space="preserve">Peso muerto sumo</t>
  </si>
  <si>
    <t xml:space="preserve">Gemelo</t>
  </si>
  <si>
    <t xml:space="preserve">Elevación de talones de pie</t>
  </si>
  <si>
    <t xml:space="preserve">Elevación de talones sentado</t>
  </si>
  <si>
    <t xml:space="preserve">Core</t>
  </si>
  <si>
    <t xml:space="preserve">Plancha frontal</t>
  </si>
  <si>
    <t xml:space="preserve">Plancha lateral</t>
  </si>
  <si>
    <t xml:space="preserve">Dead bug</t>
  </si>
  <si>
    <t xml:space="preserve">Pallof press</t>
  </si>
  <si>
    <t xml:space="preserve">Polea / Banda</t>
  </si>
  <si>
    <t xml:space="preserve">Rueda abdominal</t>
  </si>
  <si>
    <t xml:space="preserve">Rueda</t>
  </si>
  <si>
    <t xml:space="preserve">Elevación de piernas colgado</t>
  </si>
  <si>
    <t xml:space="preserve">Bird dog</t>
  </si>
  <si>
    <t xml:space="preserve">Cardio / Metabólico</t>
  </si>
  <si>
    <t xml:space="preserve">Cinta inclinada caminando</t>
  </si>
  <si>
    <t xml:space="preserve">Cinta</t>
  </si>
  <si>
    <t xml:space="preserve">Bicicleta estática</t>
  </si>
  <si>
    <t xml:space="preserve">Bicicleta</t>
  </si>
  <si>
    <t xml:space="preserve">Remo ergómetro</t>
  </si>
  <si>
    <t xml:space="preserve">Remo</t>
  </si>
  <si>
    <t xml:space="preserve">Elíptica</t>
  </si>
  <si>
    <t xml:space="preserve">Farmer walk</t>
  </si>
  <si>
    <t xml:space="preserve">Mancuernas / Kettlebell</t>
  </si>
  <si>
    <t xml:space="preserve">Kettlebell swing</t>
  </si>
  <si>
    <t xml:space="preserve">Kettlebell</t>
  </si>
  <si>
    <t xml:space="preserve">Burpees</t>
  </si>
  <si>
    <t xml:space="preserve">Los ejercicios sin enlace propio abren una búsqueda en YouTube. Cuando tengas tu vídeo, pega el enlace en la columna «Enlace a tu vídeo» y el botón pasará a abrir el tuyo (también en las hojas de cada día). Imagen: cópiala y pégala en la columna IMAGEN de cada día. Puedes añadir ejercicios nuevos al final de la lista.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</si>
</sst>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0.0;\-0.0;&quot;&quot;"/>
    <numFmt numFmtId="167" formatCode="@"/>
    <numFmt numFmtId="168" formatCode="0.0"/>
    <numFmt numFmtId="169" formatCode="\+0.0;\-0.0;0"/>
    <numFmt numFmtId="170" formatCode="\+0%;\-0%;0%"/>
    <numFmt numFmtId="171" formatCode="0%"/>
    <numFmt numFmtId="172" formatCode="#,##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64653"/>
      <name val="Arial"/>
      <family val="0"/>
      <charset val="1"/>
    </font>
    <font>
      <b val="true"/>
      <sz val="10"/>
      <color rgb="FF1F5FA8"/>
      <name val="Arial"/>
      <family val="0"/>
      <charset val="1"/>
    </font>
    <font>
      <b val="true"/>
      <sz val="8"/>
      <color rgb="FF6B7C85"/>
      <name val="Arial"/>
      <family val="0"/>
      <charset val="1"/>
    </font>
    <font>
      <b val="true"/>
      <sz val="14"/>
      <color rgb="FF2A9D8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264653"/>
      <name val="Arial"/>
      <family val="0"/>
      <charset val="1"/>
    </font>
    <font>
      <sz val="10"/>
      <color rgb="FF1F5FA8"/>
      <name val="Arial"/>
      <family val="0"/>
      <charset val="1"/>
    </font>
    <font>
      <b val="true"/>
      <sz val="9"/>
      <color rgb="FF264653"/>
      <name val="Arial"/>
      <family val="0"/>
      <charset val="1"/>
    </font>
    <font>
      <sz val="9"/>
      <color rgb="FF264653"/>
      <name val="Arial"/>
      <family val="0"/>
      <charset val="1"/>
    </font>
    <font>
      <b val="true"/>
      <sz val="11"/>
      <color rgb="FF2A9D8F"/>
      <name val="Arial"/>
      <family val="0"/>
      <charset val="1"/>
    </font>
    <font>
      <i val="true"/>
      <sz val="8"/>
      <color rgb="FF6B7C85"/>
      <name val="Arial"/>
      <family val="0"/>
      <charset val="1"/>
    </font>
    <font>
      <sz val="9"/>
      <color rgb="FFB8C4C8"/>
      <name val="Arial"/>
      <family val="0"/>
      <charset val="1"/>
    </font>
    <font>
      <b val="true"/>
      <u val="single"/>
      <sz val="10"/>
      <color rgb="FFE76F51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264653"/>
      <name val="Arial"/>
      <family val="0"/>
      <charset val="1"/>
    </font>
    <font>
      <b val="true"/>
      <sz val="11"/>
      <color rgb="FF264653"/>
      <name val="Arial"/>
      <family val="0"/>
      <charset val="1"/>
    </font>
    <font>
      <sz val="9"/>
      <color rgb="FF1F5FA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64653"/>
        <bgColor rgb="FF003366"/>
      </patternFill>
    </fill>
    <fill>
      <patternFill patternType="solid">
        <fgColor rgb="FF2A9D8F"/>
        <bgColor rgb="FF5B8E7D"/>
      </patternFill>
    </fill>
    <fill>
      <patternFill patternType="solid">
        <fgColor rgb="FFE3F2EF"/>
        <bgColor rgb="FFF6F9F8"/>
      </patternFill>
    </fill>
    <fill>
      <patternFill patternType="solid">
        <fgColor rgb="FFF6F9F8"/>
        <bgColor rgb="FFFFFFFF"/>
      </patternFill>
    </fill>
    <fill>
      <patternFill patternType="solid">
        <fgColor rgb="FFFBF3DC"/>
        <bgColor rgb="FFF6F9F8"/>
      </patternFill>
    </fill>
    <fill>
      <patternFill patternType="solid">
        <fgColor rgb="FFFFFFFF"/>
        <bgColor rgb="FFF6F9F8"/>
      </patternFill>
    </fill>
    <fill>
      <patternFill patternType="solid">
        <fgColor rgb="FFF4A261"/>
        <bgColor rgb="FFE9C46A"/>
      </patternFill>
    </fill>
    <fill>
      <patternFill patternType="solid">
        <fgColor rgb="FFE9C46A"/>
        <bgColor rgb="FFF4A261"/>
      </patternFill>
    </fill>
    <fill>
      <patternFill patternType="solid">
        <fgColor rgb="FFC9A227"/>
        <bgColor rgb="FFF4A261"/>
      </patternFill>
    </fill>
    <fill>
      <patternFill patternType="solid">
        <fgColor rgb="FF5B8E7D"/>
        <bgColor rgb="FF6B7C8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E2DF"/>
      </left>
      <right style="thin">
        <color rgb="FFD5E2DF"/>
      </right>
      <top style="thin">
        <color rgb="FFD5E2DF"/>
      </top>
      <bottom style="thin">
        <color rgb="FFD5E2DF"/>
      </bottom>
      <diagonal/>
    </border>
    <border diagonalUp="false" diagonalDown="false">
      <left/>
      <right/>
      <top/>
      <bottom style="thin">
        <color rgb="FFD5E2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Arial"/>
        <charset val="1"/>
        <family val="0"/>
        <b val="1"/>
        <color rgb="FF2A9D8F"/>
      </font>
    </dxf>
    <dxf>
      <font>
        <name val="Arial"/>
        <charset val="1"/>
        <family val="0"/>
        <b val="1"/>
        <color rgb="FFE76F51"/>
      </font>
    </dxf>
    <dxf>
      <fill>
        <patternFill patternType="solid">
          <fgColor rgb="FF264653"/>
          <bgColor rgb="FF000000"/>
        </patternFill>
      </fill>
    </dxf>
    <dxf>
      <fill>
        <patternFill patternType="solid">
          <fgColor rgb="FFF6F9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5FA8"/>
          <bgColor rgb="FF000000"/>
        </patternFill>
      </fill>
    </dxf>
    <dxf>
      <fill>
        <patternFill patternType="solid">
          <fgColor rgb="FFE76F51"/>
          <bgColor rgb="FF000000"/>
        </patternFill>
      </fill>
    </dxf>
    <dxf>
      <font>
        <name val="Arial"/>
        <charset val="1"/>
        <family val="0"/>
        <b val="1"/>
        <color rgb="FF264653"/>
      </font>
      <fill>
        <patternFill>
          <bgColor rgb="FFE9C46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C8"/>
      <rgbColor rgb="FF6B7C85"/>
      <rgbColor rgb="FF9999FF"/>
      <rgbColor rgb="FF993366"/>
      <rgbColor rgb="FFFBF3DC"/>
      <rgbColor rgb="FFE3F2EF"/>
      <rgbColor rgb="FF660066"/>
      <rgbColor rgb="FFE76F51"/>
      <rgbColor rgb="FF1F5FA8"/>
      <rgbColor rgb="FFD5E2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9F8"/>
      <rgbColor rgb="FFCCFFCC"/>
      <rgbColor rgb="FFFFFF99"/>
      <rgbColor rgb="FF99CCFF"/>
      <rgbColor rgb="FFF4A261"/>
      <rgbColor rgb="FFCC99FF"/>
      <rgbColor rgb="FFE9C46A"/>
      <rgbColor rgb="FF3366FF"/>
      <rgbColor rgb="FF33CCCC"/>
      <rgbColor rgb="FF99CC00"/>
      <rgbColor rgb="FFFFCC00"/>
      <rgbColor rgb="FFC9A227"/>
      <rgbColor rgb="FFFF6600"/>
      <rgbColor rgb="FF5B8E7D"/>
      <rgbColor rgb="FF969696"/>
      <rgbColor rgb="FF003366"/>
      <rgbColor rgb="FF2A9D8F"/>
      <rgbColor rgb="FF003300"/>
      <rgbColor rgb="FF333300"/>
      <rgbColor rgb="FF993300"/>
      <rgbColor rgb="FF993366"/>
      <rgbColor rgb="FF333399"/>
      <rgbColor rgb="FF2646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1380960</xdr:colOff>
      <xdr:row>1</xdr:row>
      <xdr:rowOff>28440</xdr:rowOff>
    </xdr:from>
    <xdr:to>
      <xdr:col>7</xdr:col>
      <xdr:colOff>1989360</xdr:colOff>
      <xdr:row>2</xdr:row>
      <xdr:rowOff>179640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8465040" y="218880"/>
          <a:ext cx="608400" cy="60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1114560</xdr:colOff>
      <xdr:row>1</xdr:row>
      <xdr:rowOff>28440</xdr:rowOff>
    </xdr:from>
    <xdr:to>
      <xdr:col>12</xdr:col>
      <xdr:colOff>1722960</xdr:colOff>
      <xdr:row>2</xdr:row>
      <xdr:rowOff>179640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0242720" y="218880"/>
          <a:ext cx="608400" cy="60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1114560</xdr:colOff>
      <xdr:row>1</xdr:row>
      <xdr:rowOff>28440</xdr:rowOff>
    </xdr:from>
    <xdr:to>
      <xdr:col>12</xdr:col>
      <xdr:colOff>1722960</xdr:colOff>
      <xdr:row>2</xdr:row>
      <xdr:rowOff>179640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0242720" y="218880"/>
          <a:ext cx="608400" cy="60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1114560</xdr:colOff>
      <xdr:row>1</xdr:row>
      <xdr:rowOff>28440</xdr:rowOff>
    </xdr:from>
    <xdr:to>
      <xdr:col>12</xdr:col>
      <xdr:colOff>1722960</xdr:colOff>
      <xdr:row>2</xdr:row>
      <xdr:rowOff>179640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10242720" y="218880"/>
          <a:ext cx="608400" cy="60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1114560</xdr:colOff>
      <xdr:row>1</xdr:row>
      <xdr:rowOff>28440</xdr:rowOff>
    </xdr:from>
    <xdr:to>
      <xdr:col>12</xdr:col>
      <xdr:colOff>1722960</xdr:colOff>
      <xdr:row>2</xdr:row>
      <xdr:rowOff>179640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10242720" y="218880"/>
          <a:ext cx="608400" cy="60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1647720</xdr:colOff>
      <xdr:row>1</xdr:row>
      <xdr:rowOff>28440</xdr:rowOff>
    </xdr:from>
    <xdr:to>
      <xdr:col>11</xdr:col>
      <xdr:colOff>2256120</xdr:colOff>
      <xdr:row>2</xdr:row>
      <xdr:rowOff>179640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10212120" y="218880"/>
          <a:ext cx="608400" cy="60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380880</xdr:colOff>
      <xdr:row>1</xdr:row>
      <xdr:rowOff>28440</xdr:rowOff>
    </xdr:from>
    <xdr:to>
      <xdr:col>6</xdr:col>
      <xdr:colOff>989280</xdr:colOff>
      <xdr:row>2</xdr:row>
      <xdr:rowOff>179640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9015480" y="218880"/>
          <a:ext cx="608400" cy="60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5</xdr:row>
      <xdr:rowOff>28440</xdr:rowOff>
    </xdr:from>
    <xdr:to>
      <xdr:col>6</xdr:col>
      <xdr:colOff>865800</xdr:colOff>
      <xdr:row>5</xdr:row>
      <xdr:rowOff>541800</xdr:rowOff>
    </xdr:to>
    <xdr:pic>
      <xdr:nvPicPr>
        <xdr:cNvPr id="7" name="Image 2" descr="Picture"/>
        <xdr:cNvPicPr/>
      </xdr:nvPicPr>
      <xdr:blipFill>
        <a:blip r:embed="rId2"/>
        <a:stretch/>
      </xdr:blipFill>
      <xdr:spPr>
        <a:xfrm>
          <a:off x="8777520" y="162864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6</xdr:row>
      <xdr:rowOff>28440</xdr:rowOff>
    </xdr:from>
    <xdr:to>
      <xdr:col>6</xdr:col>
      <xdr:colOff>865800</xdr:colOff>
      <xdr:row>6</xdr:row>
      <xdr:rowOff>541800</xdr:rowOff>
    </xdr:to>
    <xdr:pic>
      <xdr:nvPicPr>
        <xdr:cNvPr id="8" name="Image 3" descr="Picture"/>
        <xdr:cNvPicPr/>
      </xdr:nvPicPr>
      <xdr:blipFill>
        <a:blip r:embed="rId3"/>
        <a:stretch/>
      </xdr:blipFill>
      <xdr:spPr>
        <a:xfrm>
          <a:off x="8777520" y="218124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7</xdr:row>
      <xdr:rowOff>28440</xdr:rowOff>
    </xdr:from>
    <xdr:to>
      <xdr:col>6</xdr:col>
      <xdr:colOff>865800</xdr:colOff>
      <xdr:row>7</xdr:row>
      <xdr:rowOff>541800</xdr:rowOff>
    </xdr:to>
    <xdr:pic>
      <xdr:nvPicPr>
        <xdr:cNvPr id="9" name="Image 4" descr="Picture"/>
        <xdr:cNvPicPr/>
      </xdr:nvPicPr>
      <xdr:blipFill>
        <a:blip r:embed="rId4"/>
        <a:stretch/>
      </xdr:blipFill>
      <xdr:spPr>
        <a:xfrm>
          <a:off x="8777520" y="273348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8</xdr:row>
      <xdr:rowOff>28440</xdr:rowOff>
    </xdr:from>
    <xdr:to>
      <xdr:col>6</xdr:col>
      <xdr:colOff>865800</xdr:colOff>
      <xdr:row>8</xdr:row>
      <xdr:rowOff>541800</xdr:rowOff>
    </xdr:to>
    <xdr:pic>
      <xdr:nvPicPr>
        <xdr:cNvPr id="10" name="Image 5" descr="Picture"/>
        <xdr:cNvPicPr/>
      </xdr:nvPicPr>
      <xdr:blipFill>
        <a:blip r:embed="rId5"/>
        <a:stretch/>
      </xdr:blipFill>
      <xdr:spPr>
        <a:xfrm>
          <a:off x="8777520" y="328608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9</xdr:row>
      <xdr:rowOff>28440</xdr:rowOff>
    </xdr:from>
    <xdr:to>
      <xdr:col>6</xdr:col>
      <xdr:colOff>865800</xdr:colOff>
      <xdr:row>9</xdr:row>
      <xdr:rowOff>541800</xdr:rowOff>
    </xdr:to>
    <xdr:pic>
      <xdr:nvPicPr>
        <xdr:cNvPr id="11" name="Image 6" descr="Picture"/>
        <xdr:cNvPicPr/>
      </xdr:nvPicPr>
      <xdr:blipFill>
        <a:blip r:embed="rId6"/>
        <a:stretch/>
      </xdr:blipFill>
      <xdr:spPr>
        <a:xfrm>
          <a:off x="8777520" y="383832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10</xdr:row>
      <xdr:rowOff>28440</xdr:rowOff>
    </xdr:from>
    <xdr:to>
      <xdr:col>6</xdr:col>
      <xdr:colOff>865800</xdr:colOff>
      <xdr:row>10</xdr:row>
      <xdr:rowOff>541800</xdr:rowOff>
    </xdr:to>
    <xdr:pic>
      <xdr:nvPicPr>
        <xdr:cNvPr id="12" name="Image 7" descr="Picture"/>
        <xdr:cNvPicPr/>
      </xdr:nvPicPr>
      <xdr:blipFill>
        <a:blip r:embed="rId7"/>
        <a:stretch/>
      </xdr:blipFill>
      <xdr:spPr>
        <a:xfrm>
          <a:off x="8777520" y="439092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11</xdr:row>
      <xdr:rowOff>28440</xdr:rowOff>
    </xdr:from>
    <xdr:to>
      <xdr:col>6</xdr:col>
      <xdr:colOff>865800</xdr:colOff>
      <xdr:row>11</xdr:row>
      <xdr:rowOff>541800</xdr:rowOff>
    </xdr:to>
    <xdr:pic>
      <xdr:nvPicPr>
        <xdr:cNvPr id="13" name="Image 8" descr="Picture"/>
        <xdr:cNvPicPr/>
      </xdr:nvPicPr>
      <xdr:blipFill>
        <a:blip r:embed="rId8"/>
        <a:stretch/>
      </xdr:blipFill>
      <xdr:spPr>
        <a:xfrm>
          <a:off x="8777520" y="494352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12</xdr:row>
      <xdr:rowOff>28440</xdr:rowOff>
    </xdr:from>
    <xdr:to>
      <xdr:col>6</xdr:col>
      <xdr:colOff>865800</xdr:colOff>
      <xdr:row>12</xdr:row>
      <xdr:rowOff>541800</xdr:rowOff>
    </xdr:to>
    <xdr:pic>
      <xdr:nvPicPr>
        <xdr:cNvPr id="14" name="Image 9" descr="Picture"/>
        <xdr:cNvPicPr/>
      </xdr:nvPicPr>
      <xdr:blipFill>
        <a:blip r:embed="rId9"/>
        <a:stretch/>
      </xdr:blipFill>
      <xdr:spPr>
        <a:xfrm>
          <a:off x="8777520" y="549576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13</xdr:row>
      <xdr:rowOff>28440</xdr:rowOff>
    </xdr:from>
    <xdr:to>
      <xdr:col>6</xdr:col>
      <xdr:colOff>865800</xdr:colOff>
      <xdr:row>13</xdr:row>
      <xdr:rowOff>541800</xdr:rowOff>
    </xdr:to>
    <xdr:pic>
      <xdr:nvPicPr>
        <xdr:cNvPr id="15" name="Image 10" descr="Picture"/>
        <xdr:cNvPicPr/>
      </xdr:nvPicPr>
      <xdr:blipFill>
        <a:blip r:embed="rId10"/>
        <a:stretch/>
      </xdr:blipFill>
      <xdr:spPr>
        <a:xfrm>
          <a:off x="8777520" y="604836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14</xdr:row>
      <xdr:rowOff>28440</xdr:rowOff>
    </xdr:from>
    <xdr:to>
      <xdr:col>6</xdr:col>
      <xdr:colOff>865800</xdr:colOff>
      <xdr:row>14</xdr:row>
      <xdr:rowOff>541800</xdr:rowOff>
    </xdr:to>
    <xdr:pic>
      <xdr:nvPicPr>
        <xdr:cNvPr id="16" name="Image 11" descr="Picture"/>
        <xdr:cNvPicPr/>
      </xdr:nvPicPr>
      <xdr:blipFill>
        <a:blip r:embed="rId11"/>
        <a:stretch/>
      </xdr:blipFill>
      <xdr:spPr>
        <a:xfrm>
          <a:off x="8777520" y="660060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15</xdr:row>
      <xdr:rowOff>28440</xdr:rowOff>
    </xdr:from>
    <xdr:to>
      <xdr:col>6</xdr:col>
      <xdr:colOff>865800</xdr:colOff>
      <xdr:row>15</xdr:row>
      <xdr:rowOff>541800</xdr:rowOff>
    </xdr:to>
    <xdr:pic>
      <xdr:nvPicPr>
        <xdr:cNvPr id="17" name="Image 12" descr="Picture"/>
        <xdr:cNvPicPr/>
      </xdr:nvPicPr>
      <xdr:blipFill>
        <a:blip r:embed="rId12"/>
        <a:stretch/>
      </xdr:blipFill>
      <xdr:spPr>
        <a:xfrm>
          <a:off x="8777520" y="715320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16</xdr:row>
      <xdr:rowOff>28440</xdr:rowOff>
    </xdr:from>
    <xdr:to>
      <xdr:col>6</xdr:col>
      <xdr:colOff>865800</xdr:colOff>
      <xdr:row>16</xdr:row>
      <xdr:rowOff>541800</xdr:rowOff>
    </xdr:to>
    <xdr:pic>
      <xdr:nvPicPr>
        <xdr:cNvPr id="18" name="Image 13" descr="Picture"/>
        <xdr:cNvPicPr/>
      </xdr:nvPicPr>
      <xdr:blipFill>
        <a:blip r:embed="rId13"/>
        <a:stretch/>
      </xdr:blipFill>
      <xdr:spPr>
        <a:xfrm>
          <a:off x="8777520" y="770544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17</xdr:row>
      <xdr:rowOff>28440</xdr:rowOff>
    </xdr:from>
    <xdr:to>
      <xdr:col>6</xdr:col>
      <xdr:colOff>865800</xdr:colOff>
      <xdr:row>17</xdr:row>
      <xdr:rowOff>541800</xdr:rowOff>
    </xdr:to>
    <xdr:pic>
      <xdr:nvPicPr>
        <xdr:cNvPr id="19" name="Image 14" descr="Picture"/>
        <xdr:cNvPicPr/>
      </xdr:nvPicPr>
      <xdr:blipFill>
        <a:blip r:embed="rId14"/>
        <a:stretch/>
      </xdr:blipFill>
      <xdr:spPr>
        <a:xfrm>
          <a:off x="8777520" y="825804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18</xdr:row>
      <xdr:rowOff>28440</xdr:rowOff>
    </xdr:from>
    <xdr:to>
      <xdr:col>6</xdr:col>
      <xdr:colOff>865800</xdr:colOff>
      <xdr:row>18</xdr:row>
      <xdr:rowOff>541800</xdr:rowOff>
    </xdr:to>
    <xdr:pic>
      <xdr:nvPicPr>
        <xdr:cNvPr id="20" name="Image 15" descr="Picture"/>
        <xdr:cNvPicPr/>
      </xdr:nvPicPr>
      <xdr:blipFill>
        <a:blip r:embed="rId15"/>
        <a:stretch/>
      </xdr:blipFill>
      <xdr:spPr>
        <a:xfrm>
          <a:off x="8777520" y="881064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19</xdr:row>
      <xdr:rowOff>28440</xdr:rowOff>
    </xdr:from>
    <xdr:to>
      <xdr:col>6</xdr:col>
      <xdr:colOff>865800</xdr:colOff>
      <xdr:row>19</xdr:row>
      <xdr:rowOff>541800</xdr:rowOff>
    </xdr:to>
    <xdr:pic>
      <xdr:nvPicPr>
        <xdr:cNvPr id="21" name="Image 16" descr="Picture"/>
        <xdr:cNvPicPr/>
      </xdr:nvPicPr>
      <xdr:blipFill>
        <a:blip r:embed="rId16"/>
        <a:stretch/>
      </xdr:blipFill>
      <xdr:spPr>
        <a:xfrm>
          <a:off x="8777520" y="936288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20</xdr:row>
      <xdr:rowOff>28440</xdr:rowOff>
    </xdr:from>
    <xdr:to>
      <xdr:col>6</xdr:col>
      <xdr:colOff>865800</xdr:colOff>
      <xdr:row>20</xdr:row>
      <xdr:rowOff>541800</xdr:rowOff>
    </xdr:to>
    <xdr:pic>
      <xdr:nvPicPr>
        <xdr:cNvPr id="22" name="Image 17" descr="Picture"/>
        <xdr:cNvPicPr/>
      </xdr:nvPicPr>
      <xdr:blipFill>
        <a:blip r:embed="rId17"/>
        <a:stretch/>
      </xdr:blipFill>
      <xdr:spPr>
        <a:xfrm>
          <a:off x="8777520" y="991548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21</xdr:row>
      <xdr:rowOff>28440</xdr:rowOff>
    </xdr:from>
    <xdr:to>
      <xdr:col>6</xdr:col>
      <xdr:colOff>865800</xdr:colOff>
      <xdr:row>21</xdr:row>
      <xdr:rowOff>541800</xdr:rowOff>
    </xdr:to>
    <xdr:pic>
      <xdr:nvPicPr>
        <xdr:cNvPr id="23" name="Image 18" descr="Picture"/>
        <xdr:cNvPicPr/>
      </xdr:nvPicPr>
      <xdr:blipFill>
        <a:blip r:embed="rId18"/>
        <a:stretch/>
      </xdr:blipFill>
      <xdr:spPr>
        <a:xfrm>
          <a:off x="8777520" y="1046772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22</xdr:row>
      <xdr:rowOff>28440</xdr:rowOff>
    </xdr:from>
    <xdr:to>
      <xdr:col>6</xdr:col>
      <xdr:colOff>865800</xdr:colOff>
      <xdr:row>22</xdr:row>
      <xdr:rowOff>541800</xdr:rowOff>
    </xdr:to>
    <xdr:pic>
      <xdr:nvPicPr>
        <xdr:cNvPr id="24" name="Image 19" descr="Picture"/>
        <xdr:cNvPicPr/>
      </xdr:nvPicPr>
      <xdr:blipFill>
        <a:blip r:embed="rId19"/>
        <a:stretch/>
      </xdr:blipFill>
      <xdr:spPr>
        <a:xfrm>
          <a:off x="8777520" y="1102032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23</xdr:row>
      <xdr:rowOff>28440</xdr:rowOff>
    </xdr:from>
    <xdr:to>
      <xdr:col>6</xdr:col>
      <xdr:colOff>865800</xdr:colOff>
      <xdr:row>23</xdr:row>
      <xdr:rowOff>541800</xdr:rowOff>
    </xdr:to>
    <xdr:pic>
      <xdr:nvPicPr>
        <xdr:cNvPr id="25" name="Image 20" descr="Picture"/>
        <xdr:cNvPicPr/>
      </xdr:nvPicPr>
      <xdr:blipFill>
        <a:blip r:embed="rId20"/>
        <a:stretch/>
      </xdr:blipFill>
      <xdr:spPr>
        <a:xfrm>
          <a:off x="8777520" y="1157292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24</xdr:row>
      <xdr:rowOff>28440</xdr:rowOff>
    </xdr:from>
    <xdr:to>
      <xdr:col>6</xdr:col>
      <xdr:colOff>865800</xdr:colOff>
      <xdr:row>24</xdr:row>
      <xdr:rowOff>541800</xdr:rowOff>
    </xdr:to>
    <xdr:pic>
      <xdr:nvPicPr>
        <xdr:cNvPr id="26" name="Image 21" descr="Picture"/>
        <xdr:cNvPicPr/>
      </xdr:nvPicPr>
      <xdr:blipFill>
        <a:blip r:embed="rId21"/>
        <a:stretch/>
      </xdr:blipFill>
      <xdr:spPr>
        <a:xfrm>
          <a:off x="8777520" y="1212516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25</xdr:row>
      <xdr:rowOff>28440</xdr:rowOff>
    </xdr:from>
    <xdr:to>
      <xdr:col>6</xdr:col>
      <xdr:colOff>865800</xdr:colOff>
      <xdr:row>25</xdr:row>
      <xdr:rowOff>541800</xdr:rowOff>
    </xdr:to>
    <xdr:pic>
      <xdr:nvPicPr>
        <xdr:cNvPr id="27" name="Image 22" descr="Picture"/>
        <xdr:cNvPicPr/>
      </xdr:nvPicPr>
      <xdr:blipFill>
        <a:blip r:embed="rId22"/>
        <a:stretch/>
      </xdr:blipFill>
      <xdr:spPr>
        <a:xfrm>
          <a:off x="8777520" y="1267776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26</xdr:row>
      <xdr:rowOff>28440</xdr:rowOff>
    </xdr:from>
    <xdr:to>
      <xdr:col>6</xdr:col>
      <xdr:colOff>865800</xdr:colOff>
      <xdr:row>26</xdr:row>
      <xdr:rowOff>541800</xdr:rowOff>
    </xdr:to>
    <xdr:pic>
      <xdr:nvPicPr>
        <xdr:cNvPr id="28" name="Image 23" descr="Picture"/>
        <xdr:cNvPicPr/>
      </xdr:nvPicPr>
      <xdr:blipFill>
        <a:blip r:embed="rId23"/>
        <a:stretch/>
      </xdr:blipFill>
      <xdr:spPr>
        <a:xfrm>
          <a:off x="8777520" y="1323000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27</xdr:row>
      <xdr:rowOff>28440</xdr:rowOff>
    </xdr:from>
    <xdr:to>
      <xdr:col>6</xdr:col>
      <xdr:colOff>865800</xdr:colOff>
      <xdr:row>27</xdr:row>
      <xdr:rowOff>541800</xdr:rowOff>
    </xdr:to>
    <xdr:pic>
      <xdr:nvPicPr>
        <xdr:cNvPr id="29" name="Image 24" descr="Picture"/>
        <xdr:cNvPicPr/>
      </xdr:nvPicPr>
      <xdr:blipFill>
        <a:blip r:embed="rId24"/>
        <a:stretch/>
      </xdr:blipFill>
      <xdr:spPr>
        <a:xfrm>
          <a:off x="8777520" y="1378260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28</xdr:row>
      <xdr:rowOff>28440</xdr:rowOff>
    </xdr:from>
    <xdr:to>
      <xdr:col>6</xdr:col>
      <xdr:colOff>865800</xdr:colOff>
      <xdr:row>28</xdr:row>
      <xdr:rowOff>541800</xdr:rowOff>
    </xdr:to>
    <xdr:pic>
      <xdr:nvPicPr>
        <xdr:cNvPr id="30" name="Image 25" descr="Picture"/>
        <xdr:cNvPicPr/>
      </xdr:nvPicPr>
      <xdr:blipFill>
        <a:blip r:embed="rId25"/>
        <a:stretch/>
      </xdr:blipFill>
      <xdr:spPr>
        <a:xfrm>
          <a:off x="8777520" y="1433484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29</xdr:row>
      <xdr:rowOff>28440</xdr:rowOff>
    </xdr:from>
    <xdr:to>
      <xdr:col>6</xdr:col>
      <xdr:colOff>865800</xdr:colOff>
      <xdr:row>29</xdr:row>
      <xdr:rowOff>541800</xdr:rowOff>
    </xdr:to>
    <xdr:pic>
      <xdr:nvPicPr>
        <xdr:cNvPr id="31" name="Image 26" descr="Picture"/>
        <xdr:cNvPicPr/>
      </xdr:nvPicPr>
      <xdr:blipFill>
        <a:blip r:embed="rId26"/>
        <a:stretch/>
      </xdr:blipFill>
      <xdr:spPr>
        <a:xfrm>
          <a:off x="8777520" y="1488744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30</xdr:row>
      <xdr:rowOff>28440</xdr:rowOff>
    </xdr:from>
    <xdr:to>
      <xdr:col>6</xdr:col>
      <xdr:colOff>865800</xdr:colOff>
      <xdr:row>30</xdr:row>
      <xdr:rowOff>541800</xdr:rowOff>
    </xdr:to>
    <xdr:pic>
      <xdr:nvPicPr>
        <xdr:cNvPr id="32" name="Image 27" descr="Picture"/>
        <xdr:cNvPicPr/>
      </xdr:nvPicPr>
      <xdr:blipFill>
        <a:blip r:embed="rId27"/>
        <a:stretch/>
      </xdr:blipFill>
      <xdr:spPr>
        <a:xfrm>
          <a:off x="8777520" y="1544004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31</xdr:row>
      <xdr:rowOff>28440</xdr:rowOff>
    </xdr:from>
    <xdr:to>
      <xdr:col>6</xdr:col>
      <xdr:colOff>865800</xdr:colOff>
      <xdr:row>31</xdr:row>
      <xdr:rowOff>541800</xdr:rowOff>
    </xdr:to>
    <xdr:pic>
      <xdr:nvPicPr>
        <xdr:cNvPr id="33" name="Image 28" descr="Picture"/>
        <xdr:cNvPicPr/>
      </xdr:nvPicPr>
      <xdr:blipFill>
        <a:blip r:embed="rId28"/>
        <a:stretch/>
      </xdr:blipFill>
      <xdr:spPr>
        <a:xfrm>
          <a:off x="8777520" y="1599228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32</xdr:row>
      <xdr:rowOff>28440</xdr:rowOff>
    </xdr:from>
    <xdr:to>
      <xdr:col>6</xdr:col>
      <xdr:colOff>865800</xdr:colOff>
      <xdr:row>32</xdr:row>
      <xdr:rowOff>541800</xdr:rowOff>
    </xdr:to>
    <xdr:pic>
      <xdr:nvPicPr>
        <xdr:cNvPr id="34" name="Image 29" descr="Picture"/>
        <xdr:cNvPicPr/>
      </xdr:nvPicPr>
      <xdr:blipFill>
        <a:blip r:embed="rId29"/>
        <a:stretch/>
      </xdr:blipFill>
      <xdr:spPr>
        <a:xfrm>
          <a:off x="8777520" y="1654488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33</xdr:row>
      <xdr:rowOff>28440</xdr:rowOff>
    </xdr:from>
    <xdr:to>
      <xdr:col>6</xdr:col>
      <xdr:colOff>865800</xdr:colOff>
      <xdr:row>33</xdr:row>
      <xdr:rowOff>541800</xdr:rowOff>
    </xdr:to>
    <xdr:pic>
      <xdr:nvPicPr>
        <xdr:cNvPr id="35" name="Image 30" descr="Picture"/>
        <xdr:cNvPicPr/>
      </xdr:nvPicPr>
      <xdr:blipFill>
        <a:blip r:embed="rId30"/>
        <a:stretch/>
      </xdr:blipFill>
      <xdr:spPr>
        <a:xfrm>
          <a:off x="8777520" y="1709712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34</xdr:row>
      <xdr:rowOff>28440</xdr:rowOff>
    </xdr:from>
    <xdr:to>
      <xdr:col>6</xdr:col>
      <xdr:colOff>865800</xdr:colOff>
      <xdr:row>34</xdr:row>
      <xdr:rowOff>541800</xdr:rowOff>
    </xdr:to>
    <xdr:pic>
      <xdr:nvPicPr>
        <xdr:cNvPr id="36" name="Image 31" descr="Picture"/>
        <xdr:cNvPicPr/>
      </xdr:nvPicPr>
      <xdr:blipFill>
        <a:blip r:embed="rId31"/>
        <a:stretch/>
      </xdr:blipFill>
      <xdr:spPr>
        <a:xfrm>
          <a:off x="8777520" y="1764972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35</xdr:row>
      <xdr:rowOff>28440</xdr:rowOff>
    </xdr:from>
    <xdr:to>
      <xdr:col>6</xdr:col>
      <xdr:colOff>865800</xdr:colOff>
      <xdr:row>35</xdr:row>
      <xdr:rowOff>541800</xdr:rowOff>
    </xdr:to>
    <xdr:pic>
      <xdr:nvPicPr>
        <xdr:cNvPr id="37" name="Image 32" descr="Picture"/>
        <xdr:cNvPicPr/>
      </xdr:nvPicPr>
      <xdr:blipFill>
        <a:blip r:embed="rId32"/>
        <a:stretch/>
      </xdr:blipFill>
      <xdr:spPr>
        <a:xfrm>
          <a:off x="8777520" y="1820232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36</xdr:row>
      <xdr:rowOff>28440</xdr:rowOff>
    </xdr:from>
    <xdr:to>
      <xdr:col>6</xdr:col>
      <xdr:colOff>865800</xdr:colOff>
      <xdr:row>36</xdr:row>
      <xdr:rowOff>541800</xdr:rowOff>
    </xdr:to>
    <xdr:pic>
      <xdr:nvPicPr>
        <xdr:cNvPr id="38" name="Image 33" descr="Picture"/>
        <xdr:cNvPicPr/>
      </xdr:nvPicPr>
      <xdr:blipFill>
        <a:blip r:embed="rId33"/>
        <a:stretch/>
      </xdr:blipFill>
      <xdr:spPr>
        <a:xfrm>
          <a:off x="8777520" y="1875456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37</xdr:row>
      <xdr:rowOff>28440</xdr:rowOff>
    </xdr:from>
    <xdr:to>
      <xdr:col>6</xdr:col>
      <xdr:colOff>865800</xdr:colOff>
      <xdr:row>37</xdr:row>
      <xdr:rowOff>541800</xdr:rowOff>
    </xdr:to>
    <xdr:pic>
      <xdr:nvPicPr>
        <xdr:cNvPr id="39" name="Image 34" descr="Picture"/>
        <xdr:cNvPicPr/>
      </xdr:nvPicPr>
      <xdr:blipFill>
        <a:blip r:embed="rId34"/>
        <a:stretch/>
      </xdr:blipFill>
      <xdr:spPr>
        <a:xfrm>
          <a:off x="8777520" y="1930716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38</xdr:row>
      <xdr:rowOff>28440</xdr:rowOff>
    </xdr:from>
    <xdr:to>
      <xdr:col>6</xdr:col>
      <xdr:colOff>865800</xdr:colOff>
      <xdr:row>38</xdr:row>
      <xdr:rowOff>541800</xdr:rowOff>
    </xdr:to>
    <xdr:pic>
      <xdr:nvPicPr>
        <xdr:cNvPr id="40" name="Image 35" descr="Picture"/>
        <xdr:cNvPicPr/>
      </xdr:nvPicPr>
      <xdr:blipFill>
        <a:blip r:embed="rId35"/>
        <a:stretch/>
      </xdr:blipFill>
      <xdr:spPr>
        <a:xfrm>
          <a:off x="8777520" y="1985940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39</xdr:row>
      <xdr:rowOff>28440</xdr:rowOff>
    </xdr:from>
    <xdr:to>
      <xdr:col>6</xdr:col>
      <xdr:colOff>865800</xdr:colOff>
      <xdr:row>39</xdr:row>
      <xdr:rowOff>541800</xdr:rowOff>
    </xdr:to>
    <xdr:pic>
      <xdr:nvPicPr>
        <xdr:cNvPr id="41" name="Image 36" descr="Picture"/>
        <xdr:cNvPicPr/>
      </xdr:nvPicPr>
      <xdr:blipFill>
        <a:blip r:embed="rId36"/>
        <a:stretch/>
      </xdr:blipFill>
      <xdr:spPr>
        <a:xfrm>
          <a:off x="8777520" y="2041200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40</xdr:row>
      <xdr:rowOff>28440</xdr:rowOff>
    </xdr:from>
    <xdr:to>
      <xdr:col>6</xdr:col>
      <xdr:colOff>865800</xdr:colOff>
      <xdr:row>40</xdr:row>
      <xdr:rowOff>541800</xdr:rowOff>
    </xdr:to>
    <xdr:pic>
      <xdr:nvPicPr>
        <xdr:cNvPr id="42" name="Image 37" descr="Picture"/>
        <xdr:cNvPicPr/>
      </xdr:nvPicPr>
      <xdr:blipFill>
        <a:blip r:embed="rId37"/>
        <a:stretch/>
      </xdr:blipFill>
      <xdr:spPr>
        <a:xfrm>
          <a:off x="8777520" y="2096424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41</xdr:row>
      <xdr:rowOff>28440</xdr:rowOff>
    </xdr:from>
    <xdr:to>
      <xdr:col>6</xdr:col>
      <xdr:colOff>865800</xdr:colOff>
      <xdr:row>41</xdr:row>
      <xdr:rowOff>541800</xdr:rowOff>
    </xdr:to>
    <xdr:pic>
      <xdr:nvPicPr>
        <xdr:cNvPr id="43" name="Image 38" descr="Picture"/>
        <xdr:cNvPicPr/>
      </xdr:nvPicPr>
      <xdr:blipFill>
        <a:blip r:embed="rId38"/>
        <a:stretch/>
      </xdr:blipFill>
      <xdr:spPr>
        <a:xfrm>
          <a:off x="8777520" y="2151684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42</xdr:row>
      <xdr:rowOff>28440</xdr:rowOff>
    </xdr:from>
    <xdr:to>
      <xdr:col>6</xdr:col>
      <xdr:colOff>865800</xdr:colOff>
      <xdr:row>42</xdr:row>
      <xdr:rowOff>541800</xdr:rowOff>
    </xdr:to>
    <xdr:pic>
      <xdr:nvPicPr>
        <xdr:cNvPr id="44" name="Image 39" descr="Picture"/>
        <xdr:cNvPicPr/>
      </xdr:nvPicPr>
      <xdr:blipFill>
        <a:blip r:embed="rId39"/>
        <a:stretch/>
      </xdr:blipFill>
      <xdr:spPr>
        <a:xfrm>
          <a:off x="8777520" y="2206944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43</xdr:row>
      <xdr:rowOff>28440</xdr:rowOff>
    </xdr:from>
    <xdr:to>
      <xdr:col>6</xdr:col>
      <xdr:colOff>865800</xdr:colOff>
      <xdr:row>43</xdr:row>
      <xdr:rowOff>541800</xdr:rowOff>
    </xdr:to>
    <xdr:pic>
      <xdr:nvPicPr>
        <xdr:cNvPr id="45" name="Image 40" descr="Picture"/>
        <xdr:cNvPicPr/>
      </xdr:nvPicPr>
      <xdr:blipFill>
        <a:blip r:embed="rId40"/>
        <a:stretch/>
      </xdr:blipFill>
      <xdr:spPr>
        <a:xfrm>
          <a:off x="8777520" y="2262168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44</xdr:row>
      <xdr:rowOff>28440</xdr:rowOff>
    </xdr:from>
    <xdr:to>
      <xdr:col>6</xdr:col>
      <xdr:colOff>865800</xdr:colOff>
      <xdr:row>44</xdr:row>
      <xdr:rowOff>541800</xdr:rowOff>
    </xdr:to>
    <xdr:pic>
      <xdr:nvPicPr>
        <xdr:cNvPr id="46" name="Image 41" descr="Picture"/>
        <xdr:cNvPicPr/>
      </xdr:nvPicPr>
      <xdr:blipFill>
        <a:blip r:embed="rId41"/>
        <a:stretch/>
      </xdr:blipFill>
      <xdr:spPr>
        <a:xfrm>
          <a:off x="8777520" y="2317428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45</xdr:row>
      <xdr:rowOff>28440</xdr:rowOff>
    </xdr:from>
    <xdr:to>
      <xdr:col>6</xdr:col>
      <xdr:colOff>865800</xdr:colOff>
      <xdr:row>45</xdr:row>
      <xdr:rowOff>541800</xdr:rowOff>
    </xdr:to>
    <xdr:pic>
      <xdr:nvPicPr>
        <xdr:cNvPr id="47" name="Image 42" descr="Picture"/>
        <xdr:cNvPicPr/>
      </xdr:nvPicPr>
      <xdr:blipFill>
        <a:blip r:embed="rId42"/>
        <a:stretch/>
      </xdr:blipFill>
      <xdr:spPr>
        <a:xfrm>
          <a:off x="8777520" y="2372652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46</xdr:row>
      <xdr:rowOff>28440</xdr:rowOff>
    </xdr:from>
    <xdr:to>
      <xdr:col>6</xdr:col>
      <xdr:colOff>865800</xdr:colOff>
      <xdr:row>46</xdr:row>
      <xdr:rowOff>541800</xdr:rowOff>
    </xdr:to>
    <xdr:pic>
      <xdr:nvPicPr>
        <xdr:cNvPr id="48" name="Image 43" descr="Picture"/>
        <xdr:cNvPicPr/>
      </xdr:nvPicPr>
      <xdr:blipFill>
        <a:blip r:embed="rId43"/>
        <a:stretch/>
      </xdr:blipFill>
      <xdr:spPr>
        <a:xfrm>
          <a:off x="8777520" y="2427912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47</xdr:row>
      <xdr:rowOff>28440</xdr:rowOff>
    </xdr:from>
    <xdr:to>
      <xdr:col>6</xdr:col>
      <xdr:colOff>865800</xdr:colOff>
      <xdr:row>47</xdr:row>
      <xdr:rowOff>541800</xdr:rowOff>
    </xdr:to>
    <xdr:pic>
      <xdr:nvPicPr>
        <xdr:cNvPr id="49" name="Image 44" descr="Picture"/>
        <xdr:cNvPicPr/>
      </xdr:nvPicPr>
      <xdr:blipFill>
        <a:blip r:embed="rId44"/>
        <a:stretch/>
      </xdr:blipFill>
      <xdr:spPr>
        <a:xfrm>
          <a:off x="8777520" y="2483172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48</xdr:row>
      <xdr:rowOff>28440</xdr:rowOff>
    </xdr:from>
    <xdr:to>
      <xdr:col>6</xdr:col>
      <xdr:colOff>865800</xdr:colOff>
      <xdr:row>48</xdr:row>
      <xdr:rowOff>541800</xdr:rowOff>
    </xdr:to>
    <xdr:pic>
      <xdr:nvPicPr>
        <xdr:cNvPr id="50" name="Image 45" descr="Picture"/>
        <xdr:cNvPicPr/>
      </xdr:nvPicPr>
      <xdr:blipFill>
        <a:blip r:embed="rId45"/>
        <a:stretch/>
      </xdr:blipFill>
      <xdr:spPr>
        <a:xfrm>
          <a:off x="8777520" y="2538396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49</xdr:row>
      <xdr:rowOff>28440</xdr:rowOff>
    </xdr:from>
    <xdr:to>
      <xdr:col>6</xdr:col>
      <xdr:colOff>865800</xdr:colOff>
      <xdr:row>49</xdr:row>
      <xdr:rowOff>541800</xdr:rowOff>
    </xdr:to>
    <xdr:pic>
      <xdr:nvPicPr>
        <xdr:cNvPr id="51" name="Image 46" descr="Picture"/>
        <xdr:cNvPicPr/>
      </xdr:nvPicPr>
      <xdr:blipFill>
        <a:blip r:embed="rId46"/>
        <a:stretch/>
      </xdr:blipFill>
      <xdr:spPr>
        <a:xfrm>
          <a:off x="8777520" y="2593656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50</xdr:row>
      <xdr:rowOff>28440</xdr:rowOff>
    </xdr:from>
    <xdr:to>
      <xdr:col>6</xdr:col>
      <xdr:colOff>865800</xdr:colOff>
      <xdr:row>50</xdr:row>
      <xdr:rowOff>541800</xdr:rowOff>
    </xdr:to>
    <xdr:pic>
      <xdr:nvPicPr>
        <xdr:cNvPr id="52" name="Image 47" descr="Picture"/>
        <xdr:cNvPicPr/>
      </xdr:nvPicPr>
      <xdr:blipFill>
        <a:blip r:embed="rId47"/>
        <a:stretch/>
      </xdr:blipFill>
      <xdr:spPr>
        <a:xfrm>
          <a:off x="8777520" y="2648880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51</xdr:row>
      <xdr:rowOff>28440</xdr:rowOff>
    </xdr:from>
    <xdr:to>
      <xdr:col>6</xdr:col>
      <xdr:colOff>865800</xdr:colOff>
      <xdr:row>51</xdr:row>
      <xdr:rowOff>541800</xdr:rowOff>
    </xdr:to>
    <xdr:pic>
      <xdr:nvPicPr>
        <xdr:cNvPr id="53" name="Image 48" descr="Picture"/>
        <xdr:cNvPicPr/>
      </xdr:nvPicPr>
      <xdr:blipFill>
        <a:blip r:embed="rId48"/>
        <a:stretch/>
      </xdr:blipFill>
      <xdr:spPr>
        <a:xfrm>
          <a:off x="8777520" y="2704140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52</xdr:row>
      <xdr:rowOff>28440</xdr:rowOff>
    </xdr:from>
    <xdr:to>
      <xdr:col>6</xdr:col>
      <xdr:colOff>865800</xdr:colOff>
      <xdr:row>52</xdr:row>
      <xdr:rowOff>541800</xdr:rowOff>
    </xdr:to>
    <xdr:pic>
      <xdr:nvPicPr>
        <xdr:cNvPr id="54" name="Image 49" descr="Picture"/>
        <xdr:cNvPicPr/>
      </xdr:nvPicPr>
      <xdr:blipFill>
        <a:blip r:embed="rId49"/>
        <a:stretch/>
      </xdr:blipFill>
      <xdr:spPr>
        <a:xfrm>
          <a:off x="8777520" y="2759364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53</xdr:row>
      <xdr:rowOff>28440</xdr:rowOff>
    </xdr:from>
    <xdr:to>
      <xdr:col>6</xdr:col>
      <xdr:colOff>865800</xdr:colOff>
      <xdr:row>53</xdr:row>
      <xdr:rowOff>541800</xdr:rowOff>
    </xdr:to>
    <xdr:pic>
      <xdr:nvPicPr>
        <xdr:cNvPr id="55" name="Image 50" descr="Picture"/>
        <xdr:cNvPicPr/>
      </xdr:nvPicPr>
      <xdr:blipFill>
        <a:blip r:embed="rId50"/>
        <a:stretch/>
      </xdr:blipFill>
      <xdr:spPr>
        <a:xfrm>
          <a:off x="8777520" y="2814624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54</xdr:row>
      <xdr:rowOff>28440</xdr:rowOff>
    </xdr:from>
    <xdr:to>
      <xdr:col>6</xdr:col>
      <xdr:colOff>865800</xdr:colOff>
      <xdr:row>54</xdr:row>
      <xdr:rowOff>541800</xdr:rowOff>
    </xdr:to>
    <xdr:pic>
      <xdr:nvPicPr>
        <xdr:cNvPr id="56" name="Image 51" descr="Picture"/>
        <xdr:cNvPicPr/>
      </xdr:nvPicPr>
      <xdr:blipFill>
        <a:blip r:embed="rId51"/>
        <a:stretch/>
      </xdr:blipFill>
      <xdr:spPr>
        <a:xfrm>
          <a:off x="8777520" y="2869884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55</xdr:row>
      <xdr:rowOff>28440</xdr:rowOff>
    </xdr:from>
    <xdr:to>
      <xdr:col>6</xdr:col>
      <xdr:colOff>865800</xdr:colOff>
      <xdr:row>55</xdr:row>
      <xdr:rowOff>541800</xdr:rowOff>
    </xdr:to>
    <xdr:pic>
      <xdr:nvPicPr>
        <xdr:cNvPr id="57" name="Image 52" descr="Picture"/>
        <xdr:cNvPicPr/>
      </xdr:nvPicPr>
      <xdr:blipFill>
        <a:blip r:embed="rId52"/>
        <a:stretch/>
      </xdr:blipFill>
      <xdr:spPr>
        <a:xfrm>
          <a:off x="8777520" y="2925108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56</xdr:row>
      <xdr:rowOff>28440</xdr:rowOff>
    </xdr:from>
    <xdr:to>
      <xdr:col>6</xdr:col>
      <xdr:colOff>865800</xdr:colOff>
      <xdr:row>56</xdr:row>
      <xdr:rowOff>541800</xdr:rowOff>
    </xdr:to>
    <xdr:pic>
      <xdr:nvPicPr>
        <xdr:cNvPr id="58" name="Image 53" descr="Picture"/>
        <xdr:cNvPicPr/>
      </xdr:nvPicPr>
      <xdr:blipFill>
        <a:blip r:embed="rId53"/>
        <a:stretch/>
      </xdr:blipFill>
      <xdr:spPr>
        <a:xfrm>
          <a:off x="8777520" y="2980368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57</xdr:row>
      <xdr:rowOff>28440</xdr:rowOff>
    </xdr:from>
    <xdr:to>
      <xdr:col>6</xdr:col>
      <xdr:colOff>865800</xdr:colOff>
      <xdr:row>57</xdr:row>
      <xdr:rowOff>541800</xdr:rowOff>
    </xdr:to>
    <xdr:pic>
      <xdr:nvPicPr>
        <xdr:cNvPr id="59" name="Image 54" descr="Picture"/>
        <xdr:cNvPicPr/>
      </xdr:nvPicPr>
      <xdr:blipFill>
        <a:blip r:embed="rId54"/>
        <a:stretch/>
      </xdr:blipFill>
      <xdr:spPr>
        <a:xfrm>
          <a:off x="8777520" y="3035592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58</xdr:row>
      <xdr:rowOff>28440</xdr:rowOff>
    </xdr:from>
    <xdr:to>
      <xdr:col>6</xdr:col>
      <xdr:colOff>865800</xdr:colOff>
      <xdr:row>58</xdr:row>
      <xdr:rowOff>541800</xdr:rowOff>
    </xdr:to>
    <xdr:pic>
      <xdr:nvPicPr>
        <xdr:cNvPr id="60" name="Image 55" descr="Picture"/>
        <xdr:cNvPicPr/>
      </xdr:nvPicPr>
      <xdr:blipFill>
        <a:blip r:embed="rId55"/>
        <a:stretch/>
      </xdr:blipFill>
      <xdr:spPr>
        <a:xfrm>
          <a:off x="8777520" y="3090852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59</xdr:row>
      <xdr:rowOff>28440</xdr:rowOff>
    </xdr:from>
    <xdr:to>
      <xdr:col>6</xdr:col>
      <xdr:colOff>865800</xdr:colOff>
      <xdr:row>59</xdr:row>
      <xdr:rowOff>541800</xdr:rowOff>
    </xdr:to>
    <xdr:pic>
      <xdr:nvPicPr>
        <xdr:cNvPr id="61" name="Image 56" descr="Picture"/>
        <xdr:cNvPicPr/>
      </xdr:nvPicPr>
      <xdr:blipFill>
        <a:blip r:embed="rId56"/>
        <a:stretch/>
      </xdr:blipFill>
      <xdr:spPr>
        <a:xfrm>
          <a:off x="8777520" y="3146112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60</xdr:row>
      <xdr:rowOff>28440</xdr:rowOff>
    </xdr:from>
    <xdr:to>
      <xdr:col>6</xdr:col>
      <xdr:colOff>865800</xdr:colOff>
      <xdr:row>60</xdr:row>
      <xdr:rowOff>541800</xdr:rowOff>
    </xdr:to>
    <xdr:pic>
      <xdr:nvPicPr>
        <xdr:cNvPr id="62" name="Image 57" descr="Picture"/>
        <xdr:cNvPicPr/>
      </xdr:nvPicPr>
      <xdr:blipFill>
        <a:blip r:embed="rId57"/>
        <a:stretch/>
      </xdr:blipFill>
      <xdr:spPr>
        <a:xfrm>
          <a:off x="8777520" y="3201336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61</xdr:row>
      <xdr:rowOff>28440</xdr:rowOff>
    </xdr:from>
    <xdr:to>
      <xdr:col>6</xdr:col>
      <xdr:colOff>865800</xdr:colOff>
      <xdr:row>61</xdr:row>
      <xdr:rowOff>541800</xdr:rowOff>
    </xdr:to>
    <xdr:pic>
      <xdr:nvPicPr>
        <xdr:cNvPr id="63" name="Image 58" descr="Picture"/>
        <xdr:cNvPicPr/>
      </xdr:nvPicPr>
      <xdr:blipFill>
        <a:blip r:embed="rId58"/>
        <a:stretch/>
      </xdr:blipFill>
      <xdr:spPr>
        <a:xfrm>
          <a:off x="8777520" y="3256596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62</xdr:row>
      <xdr:rowOff>28440</xdr:rowOff>
    </xdr:from>
    <xdr:to>
      <xdr:col>6</xdr:col>
      <xdr:colOff>865800</xdr:colOff>
      <xdr:row>62</xdr:row>
      <xdr:rowOff>541800</xdr:rowOff>
    </xdr:to>
    <xdr:pic>
      <xdr:nvPicPr>
        <xdr:cNvPr id="64" name="Image 59" descr="Picture"/>
        <xdr:cNvPicPr/>
      </xdr:nvPicPr>
      <xdr:blipFill>
        <a:blip r:embed="rId59"/>
        <a:stretch/>
      </xdr:blipFill>
      <xdr:spPr>
        <a:xfrm>
          <a:off x="8777520" y="3311820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63</xdr:row>
      <xdr:rowOff>28440</xdr:rowOff>
    </xdr:from>
    <xdr:to>
      <xdr:col>6</xdr:col>
      <xdr:colOff>865800</xdr:colOff>
      <xdr:row>63</xdr:row>
      <xdr:rowOff>541800</xdr:rowOff>
    </xdr:to>
    <xdr:pic>
      <xdr:nvPicPr>
        <xdr:cNvPr id="65" name="Image 60" descr="Picture"/>
        <xdr:cNvPicPr/>
      </xdr:nvPicPr>
      <xdr:blipFill>
        <a:blip r:embed="rId60"/>
        <a:stretch/>
      </xdr:blipFill>
      <xdr:spPr>
        <a:xfrm>
          <a:off x="8777520" y="3367080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64</xdr:row>
      <xdr:rowOff>28440</xdr:rowOff>
    </xdr:from>
    <xdr:to>
      <xdr:col>6</xdr:col>
      <xdr:colOff>865800</xdr:colOff>
      <xdr:row>64</xdr:row>
      <xdr:rowOff>541800</xdr:rowOff>
    </xdr:to>
    <xdr:pic>
      <xdr:nvPicPr>
        <xdr:cNvPr id="66" name="Image 61" descr="Picture"/>
        <xdr:cNvPicPr/>
      </xdr:nvPicPr>
      <xdr:blipFill>
        <a:blip r:embed="rId61"/>
        <a:stretch/>
      </xdr:blipFill>
      <xdr:spPr>
        <a:xfrm>
          <a:off x="8777520" y="3422304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65</xdr:row>
      <xdr:rowOff>28440</xdr:rowOff>
    </xdr:from>
    <xdr:to>
      <xdr:col>6</xdr:col>
      <xdr:colOff>865800</xdr:colOff>
      <xdr:row>65</xdr:row>
      <xdr:rowOff>541800</xdr:rowOff>
    </xdr:to>
    <xdr:pic>
      <xdr:nvPicPr>
        <xdr:cNvPr id="67" name="Image 62" descr="Picture"/>
        <xdr:cNvPicPr/>
      </xdr:nvPicPr>
      <xdr:blipFill>
        <a:blip r:embed="rId62"/>
        <a:stretch/>
      </xdr:blipFill>
      <xdr:spPr>
        <a:xfrm>
          <a:off x="8777520" y="3477564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66</xdr:row>
      <xdr:rowOff>28440</xdr:rowOff>
    </xdr:from>
    <xdr:to>
      <xdr:col>6</xdr:col>
      <xdr:colOff>865800</xdr:colOff>
      <xdr:row>66</xdr:row>
      <xdr:rowOff>541800</xdr:rowOff>
    </xdr:to>
    <xdr:pic>
      <xdr:nvPicPr>
        <xdr:cNvPr id="68" name="Image 63" descr="Picture"/>
        <xdr:cNvPicPr/>
      </xdr:nvPicPr>
      <xdr:blipFill>
        <a:blip r:embed="rId63"/>
        <a:stretch/>
      </xdr:blipFill>
      <xdr:spPr>
        <a:xfrm>
          <a:off x="8777520" y="3532824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67</xdr:row>
      <xdr:rowOff>28440</xdr:rowOff>
    </xdr:from>
    <xdr:to>
      <xdr:col>6</xdr:col>
      <xdr:colOff>865800</xdr:colOff>
      <xdr:row>67</xdr:row>
      <xdr:rowOff>541800</xdr:rowOff>
    </xdr:to>
    <xdr:pic>
      <xdr:nvPicPr>
        <xdr:cNvPr id="69" name="Image 64" descr="Picture"/>
        <xdr:cNvPicPr/>
      </xdr:nvPicPr>
      <xdr:blipFill>
        <a:blip r:embed="rId64"/>
        <a:stretch/>
      </xdr:blipFill>
      <xdr:spPr>
        <a:xfrm>
          <a:off x="8777520" y="3588048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68</xdr:row>
      <xdr:rowOff>28440</xdr:rowOff>
    </xdr:from>
    <xdr:to>
      <xdr:col>6</xdr:col>
      <xdr:colOff>865800</xdr:colOff>
      <xdr:row>68</xdr:row>
      <xdr:rowOff>541800</xdr:rowOff>
    </xdr:to>
    <xdr:pic>
      <xdr:nvPicPr>
        <xdr:cNvPr id="70" name="Image 65" descr="Picture"/>
        <xdr:cNvPicPr/>
      </xdr:nvPicPr>
      <xdr:blipFill>
        <a:blip r:embed="rId65"/>
        <a:stretch/>
      </xdr:blipFill>
      <xdr:spPr>
        <a:xfrm>
          <a:off x="8777520" y="36433080"/>
          <a:ext cx="72288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69</xdr:row>
      <xdr:rowOff>28440</xdr:rowOff>
    </xdr:from>
    <xdr:to>
      <xdr:col>6</xdr:col>
      <xdr:colOff>865800</xdr:colOff>
      <xdr:row>69</xdr:row>
      <xdr:rowOff>541800</xdr:rowOff>
    </xdr:to>
    <xdr:pic>
      <xdr:nvPicPr>
        <xdr:cNvPr id="71" name="Image 66" descr="Picture"/>
        <xdr:cNvPicPr/>
      </xdr:nvPicPr>
      <xdr:blipFill>
        <a:blip r:embed="rId66"/>
        <a:stretch/>
      </xdr:blipFill>
      <xdr:spPr>
        <a:xfrm>
          <a:off x="8777520" y="36985320"/>
          <a:ext cx="722880" cy="513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16"/>
    <col collapsed="false" customWidth="true" hidden="false" outlineLevel="0" max="4" min="3" style="1" width="18"/>
    <col collapsed="false" customWidth="true" hidden="false" outlineLevel="0" max="5" min="5" style="1" width="14"/>
    <col collapsed="false" customWidth="true" hidden="false" outlineLevel="0" max="7" min="6" style="1" width="16"/>
    <col collapsed="false" customWidth="true" hidden="false" outlineLevel="0" max="8" min="8" style="1" width="30"/>
  </cols>
  <sheetData>
    <row r="2" customFormat="false" ht="36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9.5" hidden="false" customHeight="true" outlineLevel="0" collapsed="false">
      <c r="B5" s="4" t="s">
        <v>2</v>
      </c>
      <c r="C5" s="4"/>
      <c r="D5" s="4"/>
      <c r="E5" s="4"/>
      <c r="F5" s="4"/>
      <c r="G5" s="4"/>
      <c r="H5" s="4"/>
    </row>
    <row r="6" customFormat="false" ht="19.5" hidden="false" customHeight="true" outlineLevel="0" collapsed="false">
      <c r="B6" s="5" t="s">
        <v>3</v>
      </c>
      <c r="C6" s="6"/>
      <c r="D6" s="6"/>
      <c r="E6" s="6"/>
      <c r="G6" s="7" t="s">
        <v>4</v>
      </c>
    </row>
    <row r="7" customFormat="false" ht="19.5" hidden="false" customHeight="true" outlineLevel="0" collapsed="false">
      <c r="B7" s="5" t="s">
        <v>5</v>
      </c>
      <c r="C7" s="6"/>
      <c r="D7" s="6"/>
      <c r="E7" s="6"/>
      <c r="G7" s="8" t="s">
        <v>6</v>
      </c>
    </row>
    <row r="8" customFormat="false" ht="19.5" hidden="false" customHeight="true" outlineLevel="0" collapsed="false">
      <c r="B8" s="5" t="s">
        <v>7</v>
      </c>
      <c r="C8" s="6"/>
      <c r="D8" s="6"/>
      <c r="E8" s="6"/>
    </row>
    <row r="9" customFormat="false" ht="19.5" hidden="false" customHeight="true" outlineLevel="0" collapsed="false">
      <c r="B9" s="5" t="s">
        <v>8</v>
      </c>
      <c r="C9" s="9"/>
      <c r="D9" s="9"/>
      <c r="E9" s="9"/>
      <c r="G9" s="7" t="s">
        <v>9</v>
      </c>
    </row>
    <row r="10" customFormat="false" ht="19.5" hidden="false" customHeight="true" outlineLevel="0" collapsed="false">
      <c r="B10" s="5" t="s">
        <v>10</v>
      </c>
      <c r="C10" s="6"/>
      <c r="D10" s="6"/>
      <c r="E10" s="6"/>
      <c r="G10" s="10" t="str">
        <f aca="false">IF(C9="","",C9+27)</f>
        <v/>
      </c>
    </row>
    <row r="11" customFormat="false" ht="19.5" hidden="false" customHeight="true" outlineLevel="0" collapsed="false">
      <c r="B11" s="5" t="s">
        <v>11</v>
      </c>
      <c r="C11" s="6"/>
      <c r="D11" s="6"/>
      <c r="E11" s="6"/>
    </row>
    <row r="13" customFormat="false" ht="19.5" hidden="false" customHeight="true" outlineLevel="0" collapsed="false">
      <c r="B13" s="4" t="s">
        <v>12</v>
      </c>
      <c r="C13" s="4"/>
      <c r="D13" s="4"/>
      <c r="E13" s="4"/>
      <c r="F13" s="4"/>
      <c r="G13" s="4"/>
      <c r="H13" s="4"/>
    </row>
    <row r="14" customFormat="false" ht="30" hidden="false" customHeight="true" outlineLevel="0" collapsed="false">
      <c r="B14" s="11" t="s">
        <v>13</v>
      </c>
      <c r="C14" s="11" t="s">
        <v>14</v>
      </c>
      <c r="D14" s="11" t="s">
        <v>15</v>
      </c>
      <c r="E14" s="11" t="s">
        <v>16</v>
      </c>
      <c r="F14" s="11" t="s">
        <v>17</v>
      </c>
      <c r="G14" s="11" t="s">
        <v>18</v>
      </c>
      <c r="H14" s="11" t="s">
        <v>19</v>
      </c>
    </row>
    <row r="15" customFormat="false" ht="19.5" hidden="false" customHeight="true" outlineLevel="0" collapsed="false">
      <c r="B15" s="12" t="s">
        <v>20</v>
      </c>
      <c r="C15" s="13" t="str">
        <f aca="false">IF($C$9="","",TEXT($C$9+0,"dd/mm")&amp;" – "&amp;TEXT($C$9+6,"dd/mm"))</f>
        <v/>
      </c>
      <c r="D15" s="14" t="s">
        <v>21</v>
      </c>
      <c r="E15" s="15" t="n">
        <v>3</v>
      </c>
      <c r="F15" s="14" t="s">
        <v>22</v>
      </c>
      <c r="G15" s="14" t="s">
        <v>23</v>
      </c>
      <c r="H15" s="16"/>
    </row>
    <row r="16" customFormat="false" ht="19.5" hidden="false" customHeight="true" outlineLevel="0" collapsed="false">
      <c r="B16" s="17" t="s">
        <v>24</v>
      </c>
      <c r="C16" s="18" t="str">
        <f aca="false">IF($C$9="","",TEXT($C$9+7,"dd/mm")&amp;" – "&amp;TEXT($C$9+13,"dd/mm"))</f>
        <v/>
      </c>
      <c r="D16" s="19" t="s">
        <v>25</v>
      </c>
      <c r="E16" s="20" t="n">
        <v>2</v>
      </c>
      <c r="F16" s="19" t="s">
        <v>26</v>
      </c>
      <c r="G16" s="19" t="s">
        <v>27</v>
      </c>
      <c r="H16" s="21"/>
    </row>
    <row r="17" customFormat="false" ht="19.5" hidden="false" customHeight="true" outlineLevel="0" collapsed="false">
      <c r="B17" s="12" t="s">
        <v>28</v>
      </c>
      <c r="C17" s="13" t="str">
        <f aca="false">IF($C$9="","",TEXT($C$9+14,"dd/mm")&amp;" – "&amp;TEXT($C$9+20,"dd/mm"))</f>
        <v/>
      </c>
      <c r="D17" s="14" t="s">
        <v>29</v>
      </c>
      <c r="E17" s="15" t="n">
        <v>1</v>
      </c>
      <c r="F17" s="14" t="s">
        <v>30</v>
      </c>
      <c r="G17" s="14" t="s">
        <v>31</v>
      </c>
      <c r="H17" s="16"/>
    </row>
    <row r="18" customFormat="false" ht="19.5" hidden="false" customHeight="true" outlineLevel="0" collapsed="false">
      <c r="B18" s="17" t="s">
        <v>32</v>
      </c>
      <c r="C18" s="18" t="str">
        <f aca="false">IF($C$9="","",TEXT($C$9+21,"dd/mm")&amp;" – "&amp;TEXT($C$9+27,"dd/mm"))</f>
        <v/>
      </c>
      <c r="D18" s="19" t="s">
        <v>33</v>
      </c>
      <c r="E18" s="20" t="n">
        <v>4</v>
      </c>
      <c r="F18" s="19" t="s">
        <v>34</v>
      </c>
      <c r="G18" s="19" t="s">
        <v>35</v>
      </c>
      <c r="H18" s="21"/>
    </row>
    <row r="20" customFormat="false" ht="19.5" hidden="false" customHeight="true" outlineLevel="0" collapsed="false">
      <c r="B20" s="4" t="s">
        <v>36</v>
      </c>
      <c r="C20" s="4"/>
      <c r="D20" s="4"/>
      <c r="E20" s="4"/>
      <c r="F20" s="4"/>
      <c r="G20" s="4"/>
      <c r="H20" s="4"/>
    </row>
    <row r="21" customFormat="false" ht="30" hidden="false" customHeight="true" outlineLevel="0" collapsed="false">
      <c r="B21" s="11" t="s">
        <v>37</v>
      </c>
      <c r="C21" s="11" t="s">
        <v>38</v>
      </c>
      <c r="D21" s="11" t="s">
        <v>39</v>
      </c>
      <c r="E21" s="11"/>
      <c r="F21" s="11"/>
      <c r="G21" s="11" t="s">
        <v>40</v>
      </c>
      <c r="H21" s="11" t="s">
        <v>41</v>
      </c>
    </row>
    <row r="22" customFormat="false" ht="19.5" hidden="false" customHeight="true" outlineLevel="0" collapsed="false">
      <c r="B22" s="12" t="s">
        <v>42</v>
      </c>
      <c r="C22" s="14"/>
      <c r="D22" s="16"/>
      <c r="E22" s="16"/>
      <c r="F22" s="16"/>
      <c r="G22" s="14"/>
      <c r="H22" s="16"/>
    </row>
    <row r="23" customFormat="false" ht="19.5" hidden="false" customHeight="true" outlineLevel="0" collapsed="false">
      <c r="B23" s="17" t="s">
        <v>43</v>
      </c>
      <c r="C23" s="19"/>
      <c r="D23" s="21"/>
      <c r="E23" s="21"/>
      <c r="F23" s="21"/>
      <c r="G23" s="19"/>
      <c r="H23" s="21"/>
    </row>
    <row r="24" customFormat="false" ht="19.5" hidden="false" customHeight="true" outlineLevel="0" collapsed="false">
      <c r="B24" s="12" t="s">
        <v>44</v>
      </c>
      <c r="C24" s="14"/>
      <c r="D24" s="16"/>
      <c r="E24" s="16"/>
      <c r="F24" s="16"/>
      <c r="G24" s="14"/>
      <c r="H24" s="16"/>
    </row>
    <row r="25" customFormat="false" ht="19.5" hidden="false" customHeight="true" outlineLevel="0" collapsed="false">
      <c r="B25" s="17" t="s">
        <v>45</v>
      </c>
      <c r="C25" s="19"/>
      <c r="D25" s="21"/>
      <c r="E25" s="21"/>
      <c r="F25" s="21"/>
      <c r="G25" s="19"/>
      <c r="H25" s="21"/>
    </row>
    <row r="27" customFormat="false" ht="19.5" hidden="false" customHeight="true" outlineLevel="0" collapsed="false">
      <c r="B27" s="4" t="s">
        <v>46</v>
      </c>
      <c r="C27" s="4"/>
      <c r="D27" s="4"/>
      <c r="E27" s="4"/>
      <c r="F27" s="4"/>
      <c r="G27" s="4"/>
      <c r="H27" s="4"/>
    </row>
    <row r="28" customFormat="false" ht="21.75" hidden="false" customHeight="true" outlineLevel="0" collapsed="false">
      <c r="B28" s="22" t="s">
        <v>47</v>
      </c>
      <c r="C28" s="23" t="s">
        <v>48</v>
      </c>
      <c r="D28" s="23"/>
      <c r="E28" s="23"/>
      <c r="F28" s="23"/>
      <c r="G28" s="23"/>
      <c r="H28" s="23"/>
    </row>
    <row r="29" customFormat="false" ht="21.75" hidden="false" customHeight="true" outlineLevel="0" collapsed="false">
      <c r="B29" s="24" t="s">
        <v>49</v>
      </c>
      <c r="C29" s="23" t="s">
        <v>50</v>
      </c>
      <c r="D29" s="23"/>
      <c r="E29" s="23"/>
      <c r="F29" s="23"/>
      <c r="G29" s="23"/>
      <c r="H29" s="23"/>
    </row>
    <row r="30" customFormat="false" ht="21.75" hidden="false" customHeight="true" outlineLevel="0" collapsed="false">
      <c r="B30" s="25" t="s">
        <v>51</v>
      </c>
      <c r="C30" s="23" t="s">
        <v>52</v>
      </c>
      <c r="D30" s="23"/>
      <c r="E30" s="23"/>
      <c r="F30" s="23"/>
      <c r="G30" s="23"/>
      <c r="H30" s="23"/>
    </row>
    <row r="31" customFormat="false" ht="21.75" hidden="false" customHeight="true" outlineLevel="0" collapsed="false">
      <c r="B31" s="25" t="s">
        <v>53</v>
      </c>
      <c r="C31" s="23" t="s">
        <v>54</v>
      </c>
      <c r="D31" s="23"/>
      <c r="E31" s="23"/>
      <c r="F31" s="23"/>
      <c r="G31" s="23"/>
      <c r="H31" s="23"/>
    </row>
    <row r="32" customFormat="false" ht="21.75" hidden="false" customHeight="true" outlineLevel="0" collapsed="false">
      <c r="B32" s="25" t="s">
        <v>25</v>
      </c>
      <c r="C32" s="23" t="s">
        <v>55</v>
      </c>
      <c r="D32" s="23"/>
      <c r="E32" s="23"/>
      <c r="F32" s="23"/>
      <c r="G32" s="23"/>
      <c r="H32" s="23"/>
    </row>
    <row r="33" customFormat="false" ht="21.75" hidden="false" customHeight="true" outlineLevel="0" collapsed="false">
      <c r="B33" s="25" t="s">
        <v>56</v>
      </c>
      <c r="C33" s="23" t="s">
        <v>57</v>
      </c>
      <c r="D33" s="23"/>
      <c r="E33" s="23"/>
      <c r="F33" s="23"/>
      <c r="G33" s="23"/>
      <c r="H33" s="23"/>
    </row>
    <row r="34" customFormat="false" ht="21.75" hidden="false" customHeight="true" outlineLevel="0" collapsed="false">
      <c r="B34" s="25" t="s">
        <v>58</v>
      </c>
      <c r="C34" s="23" t="s">
        <v>59</v>
      </c>
      <c r="D34" s="23"/>
      <c r="E34" s="23"/>
      <c r="F34" s="23"/>
      <c r="G34" s="23"/>
      <c r="H34" s="23"/>
    </row>
  </sheetData>
  <mergeCells count="24">
    <mergeCell ref="B2:H2"/>
    <mergeCell ref="B3:H3"/>
    <mergeCell ref="B5:H5"/>
    <mergeCell ref="C6:E6"/>
    <mergeCell ref="C7:E7"/>
    <mergeCell ref="C8:E8"/>
    <mergeCell ref="C9:E9"/>
    <mergeCell ref="C10:E10"/>
    <mergeCell ref="C11:E11"/>
    <mergeCell ref="B13:H13"/>
    <mergeCell ref="B20:H20"/>
    <mergeCell ref="D21:F21"/>
    <mergeCell ref="D22:F22"/>
    <mergeCell ref="D23:F23"/>
    <mergeCell ref="D24:F24"/>
    <mergeCell ref="D25:F25"/>
    <mergeCell ref="B27:H27"/>
    <mergeCell ref="C28:H28"/>
    <mergeCell ref="C29:H29"/>
    <mergeCell ref="C30:H30"/>
    <mergeCell ref="C31:H31"/>
    <mergeCell ref="C32:H32"/>
    <mergeCell ref="C33:H33"/>
    <mergeCell ref="C34:H34"/>
  </mergeCells>
  <dataValidations count="2">
    <dataValidation allowBlank="true" errorStyle="stop" operator="between" showDropDown="false" showErrorMessage="false" showInputMessage="false" sqref="C8" type="list">
      <formula1>"Principiante,Intermedio,Avanzado"</formula1>
      <formula2>0</formula2>
    </dataValidation>
    <dataValidation allowBlank="true" errorStyle="stop" operator="between" showDropDown="false" showErrorMessage="false" showInputMessage="false" sqref="C22:C25" type="list">
      <formula1>"Lunes,Martes,Miércoles,Jueves,Viernes,Sábado,Domingo"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Tactical Biscuit Training  ·  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5"/>
    <col collapsed="false" customWidth="true" hidden="false" outlineLevel="0" max="3" min="3" style="1" width="14"/>
    <col collapsed="false" customWidth="true" hidden="false" outlineLevel="0" max="4" min="4" style="1" width="26"/>
    <col collapsed="false" customWidth="true" hidden="false" outlineLevel="0" max="5" min="5" style="1" width="11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12" min="8" style="1" width="10"/>
    <col collapsed="false" customWidth="true" hidden="false" outlineLevel="0" max="13" min="13" style="1" width="26"/>
  </cols>
  <sheetData>
    <row r="2" customFormat="false" ht="36" hidden="false" customHeight="true" outlineLevel="0" collapsed="false">
      <c r="B2" s="2" t="s">
        <v>60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9.5" hidden="false" customHeight="true" outlineLevel="0" collapsed="false">
      <c r="B3" s="3" t="s">
        <v>61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21.75" hidden="false" customHeight="true" outlineLevel="0" collapsed="false">
      <c r="B5" s="26" t="s">
        <v>3</v>
      </c>
      <c r="C5" s="27" t="str">
        <f aca="false">IF(Resumen!C6="","",Resumen!C6)</f>
        <v/>
      </c>
      <c r="D5" s="27"/>
      <c r="E5" s="26" t="s">
        <v>62</v>
      </c>
      <c r="F5" s="27" t="str">
        <f aca="false">IF(Resumen!D22="","",Resumen!D22)</f>
        <v/>
      </c>
      <c r="G5" s="27"/>
      <c r="H5" s="27"/>
      <c r="I5" s="27"/>
      <c r="J5" s="26" t="s">
        <v>63</v>
      </c>
      <c r="K5" s="27" t="str">
        <f aca="false">IF(Resumen!C22="","",Resumen!C22)</f>
        <v/>
      </c>
      <c r="L5" s="27"/>
      <c r="M5" s="27"/>
    </row>
    <row r="6" customFormat="false" ht="15" hidden="false" customHeight="true" outlineLevel="0" collapsed="false">
      <c r="B6" s="28" t="s">
        <v>64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</row>
    <row r="8" customFormat="false" ht="19.5" hidden="false" customHeight="true" outlineLevel="0" collapsed="false">
      <c r="B8" s="4" t="s">
        <v>65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24" hidden="false" customHeight="true" outlineLevel="0" collapsed="false">
      <c r="B9" s="11" t="s">
        <v>66</v>
      </c>
      <c r="C9" s="11" t="s">
        <v>67</v>
      </c>
      <c r="D9" s="11" t="s">
        <v>68</v>
      </c>
      <c r="E9" s="11" t="s">
        <v>69</v>
      </c>
      <c r="F9" s="11" t="s">
        <v>70</v>
      </c>
      <c r="G9" s="11" t="s">
        <v>71</v>
      </c>
      <c r="H9" s="11" t="s">
        <v>72</v>
      </c>
      <c r="I9" s="11"/>
      <c r="J9" s="11"/>
      <c r="K9" s="11"/>
      <c r="L9" s="11"/>
      <c r="M9" s="11" t="s">
        <v>73</v>
      </c>
    </row>
    <row r="10" customFormat="false" ht="43.5" hidden="false" customHeight="true" outlineLevel="0" collapsed="false">
      <c r="B10" s="17" t="n">
        <v>1</v>
      </c>
      <c r="C10" s="29" t="s">
        <v>74</v>
      </c>
      <c r="D10" s="6"/>
      <c r="E10" s="14"/>
      <c r="F10" s="14"/>
      <c r="G10" s="14"/>
      <c r="H10" s="16"/>
      <c r="I10" s="16"/>
      <c r="J10" s="16"/>
      <c r="K10" s="16"/>
      <c r="L10" s="16"/>
      <c r="M10" s="30" t="str">
        <f aca="false">IF(D10="","",HYPERLINK(IF(IFERROR(INDEX(Biblioteca!$E$6:$E$150,MATCH(D10,Biblioteca!$C$6:$C$150,0))&amp;"","")&lt;&gt;"",IFERROR(INDEX(Biblioteca!$E$6:$E$150,MATCH(D10,Biblioteca!$C$6:$C$150,0))&amp;"",""),"https://www.youtube.com/results?search_query="&amp;SUBSTITUTE(TRIM(D10)," ","+")&amp;"+técnica"),IF(IFERROR(INDEX(Biblioteca!$E$6:$E$150,MATCH(D10,Biblioteca!$C$6:$C$150,0))&amp;"","")&lt;&gt;"","▶ Mi vídeo","▶ Ver vídeo")))</f>
        <v/>
      </c>
    </row>
    <row r="11" customFormat="false" ht="43.5" hidden="false" customHeight="true" outlineLevel="0" collapsed="false">
      <c r="B11" s="17" t="n">
        <v>2</v>
      </c>
      <c r="C11" s="29" t="s">
        <v>74</v>
      </c>
      <c r="D11" s="6"/>
      <c r="E11" s="14"/>
      <c r="F11" s="14"/>
      <c r="G11" s="14"/>
      <c r="H11" s="16"/>
      <c r="I11" s="16"/>
      <c r="J11" s="16"/>
      <c r="K11" s="16"/>
      <c r="L11" s="16"/>
      <c r="M11" s="30" t="str">
        <f aca="false">IF(D11="","",HYPERLINK(IF(IFERROR(INDEX(Biblioteca!$E$6:$E$150,MATCH(D11,Biblioteca!$C$6:$C$150,0))&amp;"","")&lt;&gt;"",IFERROR(INDEX(Biblioteca!$E$6:$E$150,MATCH(D11,Biblioteca!$C$6:$C$150,0))&amp;"",""),"https://www.youtube.com/results?search_query="&amp;SUBSTITUTE(TRIM(D11)," ","+")&amp;"+técnica"),IF(IFERROR(INDEX(Biblioteca!$E$6:$E$150,MATCH(D11,Biblioteca!$C$6:$C$150,0))&amp;"","")&lt;&gt;"","▶ Mi vídeo","▶ Ver vídeo")))</f>
        <v/>
      </c>
    </row>
    <row r="12" customFormat="false" ht="43.5" hidden="false" customHeight="true" outlineLevel="0" collapsed="false">
      <c r="B12" s="17" t="n">
        <v>3</v>
      </c>
      <c r="C12" s="29" t="s">
        <v>74</v>
      </c>
      <c r="D12" s="6"/>
      <c r="E12" s="14"/>
      <c r="F12" s="14"/>
      <c r="G12" s="14"/>
      <c r="H12" s="16"/>
      <c r="I12" s="16"/>
      <c r="J12" s="16"/>
      <c r="K12" s="16"/>
      <c r="L12" s="16"/>
      <c r="M12" s="30" t="str">
        <f aca="false">IF(D12="","",HYPERLINK(IF(IFERROR(INDEX(Biblioteca!$E$6:$E$150,MATCH(D12,Biblioteca!$C$6:$C$150,0))&amp;"","")&lt;&gt;"",IFERROR(INDEX(Biblioteca!$E$6:$E$150,MATCH(D12,Biblioteca!$C$6:$C$150,0))&amp;"",""),"https://www.youtube.com/results?search_query="&amp;SUBSTITUTE(TRIM(D12)," ","+")&amp;"+técnica"),IF(IFERROR(INDEX(Biblioteca!$E$6:$E$150,MATCH(D12,Biblioteca!$C$6:$C$150,0))&amp;"","")&lt;&gt;"","▶ Mi vídeo","▶ Ver vídeo")))</f>
        <v/>
      </c>
    </row>
    <row r="13" customFormat="false" ht="43.5" hidden="false" customHeight="true" outlineLevel="0" collapsed="false">
      <c r="B13" s="17" t="n">
        <v>4</v>
      </c>
      <c r="C13" s="29" t="s">
        <v>74</v>
      </c>
      <c r="D13" s="6"/>
      <c r="E13" s="14"/>
      <c r="F13" s="14"/>
      <c r="G13" s="14"/>
      <c r="H13" s="16"/>
      <c r="I13" s="16"/>
      <c r="J13" s="16"/>
      <c r="K13" s="16"/>
      <c r="L13" s="16"/>
      <c r="M13" s="30" t="str">
        <f aca="false">IF(D13="","",HYPERLINK(IF(IFERROR(INDEX(Biblioteca!$E$6:$E$150,MATCH(D13,Biblioteca!$C$6:$C$150,0))&amp;"","")&lt;&gt;"",IFERROR(INDEX(Biblioteca!$E$6:$E$150,MATCH(D13,Biblioteca!$C$6:$C$150,0))&amp;"",""),"https://www.youtube.com/results?search_query="&amp;SUBSTITUTE(TRIM(D13)," ","+")&amp;"+técnica"),IF(IFERROR(INDEX(Biblioteca!$E$6:$E$150,MATCH(D13,Biblioteca!$C$6:$C$150,0))&amp;"","")&lt;&gt;"","▶ Mi vídeo","▶ Ver vídeo")))</f>
        <v/>
      </c>
    </row>
    <row r="14" customFormat="false" ht="43.5" hidden="false" customHeight="true" outlineLevel="0" collapsed="false">
      <c r="B14" s="17" t="n">
        <v>5</v>
      </c>
      <c r="C14" s="29" t="s">
        <v>74</v>
      </c>
      <c r="D14" s="6"/>
      <c r="E14" s="14"/>
      <c r="F14" s="14"/>
      <c r="G14" s="14"/>
      <c r="H14" s="16"/>
      <c r="I14" s="16"/>
      <c r="J14" s="16"/>
      <c r="K14" s="16"/>
      <c r="L14" s="16"/>
      <c r="M14" s="30" t="str">
        <f aca="false">IF(D14="","",HYPERLINK(IF(IFERROR(INDEX(Biblioteca!$E$6:$E$150,MATCH(D14,Biblioteca!$C$6:$C$150,0))&amp;"","")&lt;&gt;"",IFERROR(INDEX(Biblioteca!$E$6:$E$150,MATCH(D14,Biblioteca!$C$6:$C$150,0))&amp;"",""),"https://www.youtube.com/results?search_query="&amp;SUBSTITUTE(TRIM(D14)," ","+")&amp;"+técnica"),IF(IFERROR(INDEX(Biblioteca!$E$6:$E$150,MATCH(D14,Biblioteca!$C$6:$C$150,0))&amp;"","")&lt;&gt;"","▶ Mi vídeo","▶ Ver vídeo")))</f>
        <v/>
      </c>
    </row>
    <row r="15" customFormat="false" ht="43.5" hidden="false" customHeight="true" outlineLevel="0" collapsed="false">
      <c r="B15" s="17" t="n">
        <v>6</v>
      </c>
      <c r="C15" s="29" t="s">
        <v>74</v>
      </c>
      <c r="D15" s="6"/>
      <c r="E15" s="14"/>
      <c r="F15" s="14"/>
      <c r="G15" s="14"/>
      <c r="H15" s="16"/>
      <c r="I15" s="16"/>
      <c r="J15" s="16"/>
      <c r="K15" s="16"/>
      <c r="L15" s="16"/>
      <c r="M15" s="30" t="str">
        <f aca="false">IF(D15="","",HYPERLINK(IF(IFERROR(INDEX(Biblioteca!$E$6:$E$150,MATCH(D15,Biblioteca!$C$6:$C$150,0))&amp;"","")&lt;&gt;"",IFERROR(INDEX(Biblioteca!$E$6:$E$150,MATCH(D15,Biblioteca!$C$6:$C$150,0))&amp;"",""),"https://www.youtube.com/results?search_query="&amp;SUBSTITUTE(TRIM(D15)," ","+")&amp;"+técnica"),IF(IFERROR(INDEX(Biblioteca!$E$6:$E$150,MATCH(D15,Biblioteca!$C$6:$C$150,0))&amp;"","")&lt;&gt;"","▶ Mi vídeo","▶ Ver vídeo")))</f>
        <v/>
      </c>
    </row>
    <row r="16" customFormat="false" ht="43.5" hidden="false" customHeight="true" outlineLevel="0" collapsed="false">
      <c r="B16" s="17" t="n">
        <v>7</v>
      </c>
      <c r="C16" s="29" t="s">
        <v>74</v>
      </c>
      <c r="D16" s="6"/>
      <c r="E16" s="14"/>
      <c r="F16" s="14"/>
      <c r="G16" s="14"/>
      <c r="H16" s="16"/>
      <c r="I16" s="16"/>
      <c r="J16" s="16"/>
      <c r="K16" s="16"/>
      <c r="L16" s="16"/>
      <c r="M16" s="30" t="str">
        <f aca="false">IF(D16="","",HYPERLINK(IF(IFERROR(INDEX(Biblioteca!$E$6:$E$150,MATCH(D16,Biblioteca!$C$6:$C$150,0))&amp;"","")&lt;&gt;"",IFERROR(INDEX(Biblioteca!$E$6:$E$150,MATCH(D16,Biblioteca!$C$6:$C$150,0))&amp;"",""),"https://www.youtube.com/results?search_query="&amp;SUBSTITUTE(TRIM(D16)," ","+")&amp;"+técnica"),IF(IFERROR(INDEX(Biblioteca!$E$6:$E$150,MATCH(D16,Biblioteca!$C$6:$C$150,0))&amp;"","")&lt;&gt;"","▶ Mi vídeo","▶ Ver vídeo")))</f>
        <v/>
      </c>
    </row>
    <row r="17" customFormat="false" ht="43.5" hidden="false" customHeight="true" outlineLevel="0" collapsed="false">
      <c r="B17" s="17" t="n">
        <v>8</v>
      </c>
      <c r="C17" s="29" t="s">
        <v>74</v>
      </c>
      <c r="D17" s="6"/>
      <c r="E17" s="14"/>
      <c r="F17" s="14"/>
      <c r="G17" s="14"/>
      <c r="H17" s="16"/>
      <c r="I17" s="16"/>
      <c r="J17" s="16"/>
      <c r="K17" s="16"/>
      <c r="L17" s="16"/>
      <c r="M17" s="30" t="str">
        <f aca="false">IF(D17="","",HYPERLINK(IF(IFERROR(INDEX(Biblioteca!$E$6:$E$150,MATCH(D17,Biblioteca!$C$6:$C$150,0))&amp;"","")&lt;&gt;"",IFERROR(INDEX(Biblioteca!$E$6:$E$150,MATCH(D17,Biblioteca!$C$6:$C$150,0))&amp;"",""),"https://www.youtube.com/results?search_query="&amp;SUBSTITUTE(TRIM(D17)," ","+")&amp;"+técnica"),IF(IFERROR(INDEX(Biblioteca!$E$6:$E$150,MATCH(D17,Biblioteca!$C$6:$C$150,0))&amp;"","")&lt;&gt;"","▶ Mi vídeo","▶ Ver vídeo")))</f>
        <v/>
      </c>
    </row>
    <row r="19" customFormat="false" ht="19.5" hidden="false" customHeight="true" outlineLevel="0" collapsed="false">
      <c r="B19" s="31" t="s">
        <v>75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customFormat="false" ht="18" hidden="false" customHeight="true" outlineLevel="0" collapsed="false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customFormat="false" ht="18" hidden="false" customHeight="true" outlineLevel="0" collapsed="false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customFormat="false" ht="18" hidden="false" customHeight="true" outlineLevel="0" collapsed="false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4" customFormat="false" ht="21.75" hidden="false" customHeight="true" outlineLevel="0" collapsed="false">
      <c r="B24" s="4" t="str">
        <f aca="false">"SEMANA 1  ·  "&amp;UPPER(Resumen!D15)&amp;"  ·  RIR objetivo "&amp;Resumen!E15&amp;IF(Resumen!C15="","","  ·  "&amp;Resumen!C15)</f>
        <v>SEMANA 1  ·  ADAPTACIÓN  ·  RIR objetivo 3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customFormat="false" ht="19.5" hidden="false" customHeight="true" outlineLevel="0" collapsed="false">
      <c r="B25" s="32" t="s">
        <v>76</v>
      </c>
      <c r="C25" s="32"/>
      <c r="D25" s="33"/>
      <c r="E25" s="32" t="s">
        <v>77</v>
      </c>
      <c r="F25" s="32"/>
      <c r="G25" s="34"/>
      <c r="H25" s="32" t="s">
        <v>78</v>
      </c>
      <c r="I25" s="32"/>
      <c r="J25" s="32"/>
      <c r="K25" s="34"/>
    </row>
    <row r="26" customFormat="false" ht="15" hidden="false" customHeight="true" outlineLevel="0" collapsed="false">
      <c r="E26" s="35" t="s">
        <v>79</v>
      </c>
      <c r="F26" s="35"/>
      <c r="G26" s="35"/>
      <c r="H26" s="35"/>
      <c r="I26" s="36" t="s">
        <v>80</v>
      </c>
      <c r="J26" s="36"/>
      <c r="K26" s="36"/>
      <c r="L26" s="36"/>
    </row>
    <row r="27" customFormat="false" ht="19.5" hidden="false" customHeight="true" outlineLevel="0" collapsed="false">
      <c r="B27" s="37" t="s">
        <v>66</v>
      </c>
      <c r="C27" s="37" t="s">
        <v>68</v>
      </c>
      <c r="D27" s="37"/>
      <c r="E27" s="37" t="s">
        <v>81</v>
      </c>
      <c r="F27" s="37" t="s">
        <v>82</v>
      </c>
      <c r="G27" s="37" t="s">
        <v>83</v>
      </c>
      <c r="H27" s="37" t="s">
        <v>84</v>
      </c>
      <c r="I27" s="38" t="s">
        <v>81</v>
      </c>
      <c r="J27" s="38" t="s">
        <v>82</v>
      </c>
      <c r="K27" s="38" t="s">
        <v>85</v>
      </c>
      <c r="L27" s="38" t="s">
        <v>51</v>
      </c>
      <c r="M27" s="37" t="s">
        <v>86</v>
      </c>
    </row>
    <row r="28" customFormat="false" ht="19.5" hidden="false" customHeight="true" outlineLevel="0" collapsed="false">
      <c r="B28" s="17" t="n">
        <v>1</v>
      </c>
      <c r="C28" s="39" t="str">
        <f aca="false">IF(D10="","",D10)</f>
        <v/>
      </c>
      <c r="D28" s="39"/>
      <c r="E28" s="14"/>
      <c r="F28" s="14"/>
      <c r="G28" s="40"/>
      <c r="H28" s="14" t="str">
        <f aca="false">IF($C28="","",Resumen!$E$15)</f>
        <v/>
      </c>
      <c r="I28" s="34"/>
      <c r="J28" s="41"/>
      <c r="K28" s="41"/>
      <c r="L28" s="34"/>
      <c r="M28" s="42"/>
    </row>
    <row r="29" customFormat="false" ht="19.5" hidden="false" customHeight="true" outlineLevel="0" collapsed="false">
      <c r="B29" s="17" t="n">
        <v>2</v>
      </c>
      <c r="C29" s="39" t="str">
        <f aca="false">IF(D11="","",D11)</f>
        <v/>
      </c>
      <c r="D29" s="39"/>
      <c r="E29" s="14"/>
      <c r="F29" s="14"/>
      <c r="G29" s="40"/>
      <c r="H29" s="14" t="str">
        <f aca="false">IF($C29="","",Resumen!$E$15)</f>
        <v/>
      </c>
      <c r="I29" s="34"/>
      <c r="J29" s="41"/>
      <c r="K29" s="41"/>
      <c r="L29" s="34"/>
      <c r="M29" s="42"/>
    </row>
    <row r="30" customFormat="false" ht="19.5" hidden="false" customHeight="true" outlineLevel="0" collapsed="false">
      <c r="B30" s="17" t="n">
        <v>3</v>
      </c>
      <c r="C30" s="39" t="str">
        <f aca="false">IF(D12="","",D12)</f>
        <v/>
      </c>
      <c r="D30" s="39"/>
      <c r="E30" s="14"/>
      <c r="F30" s="14"/>
      <c r="G30" s="40"/>
      <c r="H30" s="14" t="str">
        <f aca="false">IF($C30="","",Resumen!$E$15)</f>
        <v/>
      </c>
      <c r="I30" s="34"/>
      <c r="J30" s="41"/>
      <c r="K30" s="41"/>
      <c r="L30" s="34"/>
      <c r="M30" s="42"/>
    </row>
    <row r="31" customFormat="false" ht="19.5" hidden="false" customHeight="true" outlineLevel="0" collapsed="false">
      <c r="B31" s="17" t="n">
        <v>4</v>
      </c>
      <c r="C31" s="39" t="str">
        <f aca="false">IF(D13="","",D13)</f>
        <v/>
      </c>
      <c r="D31" s="39"/>
      <c r="E31" s="14"/>
      <c r="F31" s="14"/>
      <c r="G31" s="40"/>
      <c r="H31" s="14" t="str">
        <f aca="false">IF($C31="","",Resumen!$E$15)</f>
        <v/>
      </c>
      <c r="I31" s="34"/>
      <c r="J31" s="41"/>
      <c r="K31" s="41"/>
      <c r="L31" s="34"/>
      <c r="M31" s="42"/>
    </row>
    <row r="32" customFormat="false" ht="19.5" hidden="false" customHeight="true" outlineLevel="0" collapsed="false">
      <c r="B32" s="17" t="n">
        <v>5</v>
      </c>
      <c r="C32" s="39" t="str">
        <f aca="false">IF(D14="","",D14)</f>
        <v/>
      </c>
      <c r="D32" s="39"/>
      <c r="E32" s="14"/>
      <c r="F32" s="14"/>
      <c r="G32" s="40"/>
      <c r="H32" s="14" t="str">
        <f aca="false">IF($C32="","",Resumen!$E$15)</f>
        <v/>
      </c>
      <c r="I32" s="34"/>
      <c r="J32" s="41"/>
      <c r="K32" s="41"/>
      <c r="L32" s="34"/>
      <c r="M32" s="42"/>
    </row>
    <row r="33" customFormat="false" ht="19.5" hidden="false" customHeight="true" outlineLevel="0" collapsed="false">
      <c r="B33" s="17" t="n">
        <v>6</v>
      </c>
      <c r="C33" s="39" t="str">
        <f aca="false">IF(D15="","",D15)</f>
        <v/>
      </c>
      <c r="D33" s="39"/>
      <c r="E33" s="14"/>
      <c r="F33" s="14"/>
      <c r="G33" s="40"/>
      <c r="H33" s="14" t="str">
        <f aca="false">IF($C33="","",Resumen!$E$15)</f>
        <v/>
      </c>
      <c r="I33" s="34"/>
      <c r="J33" s="41"/>
      <c r="K33" s="41"/>
      <c r="L33" s="34"/>
      <c r="M33" s="42"/>
    </row>
    <row r="34" customFormat="false" ht="19.5" hidden="false" customHeight="true" outlineLevel="0" collapsed="false">
      <c r="B34" s="17" t="n">
        <v>7</v>
      </c>
      <c r="C34" s="39" t="str">
        <f aca="false">IF(D16="","",D16)</f>
        <v/>
      </c>
      <c r="D34" s="39"/>
      <c r="E34" s="14"/>
      <c r="F34" s="14"/>
      <c r="G34" s="40"/>
      <c r="H34" s="14" t="str">
        <f aca="false">IF($C34="","",Resumen!$E$15)</f>
        <v/>
      </c>
      <c r="I34" s="34"/>
      <c r="J34" s="41"/>
      <c r="K34" s="41"/>
      <c r="L34" s="34"/>
      <c r="M34" s="42"/>
    </row>
    <row r="35" customFormat="false" ht="19.5" hidden="false" customHeight="true" outlineLevel="0" collapsed="false">
      <c r="B35" s="17" t="n">
        <v>8</v>
      </c>
      <c r="C35" s="39" t="str">
        <f aca="false">IF(D17="","",D17)</f>
        <v/>
      </c>
      <c r="D35" s="39"/>
      <c r="E35" s="14"/>
      <c r="F35" s="14"/>
      <c r="G35" s="40"/>
      <c r="H35" s="14" t="str">
        <f aca="false">IF($C35="","",Resumen!$E$15)</f>
        <v/>
      </c>
      <c r="I35" s="34"/>
      <c r="J35" s="41"/>
      <c r="K35" s="41"/>
      <c r="L35" s="34"/>
      <c r="M35" s="42"/>
    </row>
    <row r="37" customFormat="false" ht="21.75" hidden="false" customHeight="true" outlineLevel="0" collapsed="false">
      <c r="B37" s="4" t="str">
        <f aca="false">"SEMANA 2  ·  "&amp;UPPER(Resumen!D16)&amp;"  ·  RIR objetivo "&amp;Resumen!E16&amp;IF(Resumen!C16="","","  ·  "&amp;Resumen!C16)</f>
        <v>SEMANA 2  ·  PROGRESIÓN  ·  RIR objetivo 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customFormat="false" ht="19.5" hidden="false" customHeight="true" outlineLevel="0" collapsed="false">
      <c r="B38" s="32" t="s">
        <v>76</v>
      </c>
      <c r="C38" s="32"/>
      <c r="D38" s="33"/>
      <c r="E38" s="32" t="s">
        <v>77</v>
      </c>
      <c r="F38" s="32"/>
      <c r="G38" s="34"/>
      <c r="H38" s="32" t="s">
        <v>78</v>
      </c>
      <c r="I38" s="32"/>
      <c r="J38" s="32"/>
      <c r="K38" s="34"/>
    </row>
    <row r="39" customFormat="false" ht="15" hidden="false" customHeight="true" outlineLevel="0" collapsed="false">
      <c r="E39" s="35" t="s">
        <v>79</v>
      </c>
      <c r="F39" s="35"/>
      <c r="G39" s="35"/>
      <c r="H39" s="35"/>
      <c r="I39" s="36" t="s">
        <v>80</v>
      </c>
      <c r="J39" s="36"/>
      <c r="K39" s="36"/>
      <c r="L39" s="36"/>
    </row>
    <row r="40" customFormat="false" ht="19.5" hidden="false" customHeight="true" outlineLevel="0" collapsed="false">
      <c r="B40" s="37" t="s">
        <v>66</v>
      </c>
      <c r="C40" s="37" t="s">
        <v>68</v>
      </c>
      <c r="D40" s="37"/>
      <c r="E40" s="37" t="s">
        <v>81</v>
      </c>
      <c r="F40" s="37" t="s">
        <v>82</v>
      </c>
      <c r="G40" s="37" t="s">
        <v>83</v>
      </c>
      <c r="H40" s="37" t="s">
        <v>84</v>
      </c>
      <c r="I40" s="38" t="s">
        <v>81</v>
      </c>
      <c r="J40" s="38" t="s">
        <v>82</v>
      </c>
      <c r="K40" s="38" t="s">
        <v>85</v>
      </c>
      <c r="L40" s="38" t="s">
        <v>51</v>
      </c>
      <c r="M40" s="37" t="s">
        <v>86</v>
      </c>
    </row>
    <row r="41" customFormat="false" ht="19.5" hidden="false" customHeight="true" outlineLevel="0" collapsed="false">
      <c r="B41" s="17" t="n">
        <v>1</v>
      </c>
      <c r="C41" s="39" t="str">
        <f aca="false">IF(D10="","",D10)</f>
        <v/>
      </c>
      <c r="D41" s="39"/>
      <c r="E41" s="14" t="str">
        <f aca="false">IF(E28="","",E28)</f>
        <v/>
      </c>
      <c r="F41" s="14" t="str">
        <f aca="false">IF(F28="","",F28)</f>
        <v/>
      </c>
      <c r="G41" s="40"/>
      <c r="H41" s="14" t="str">
        <f aca="false">IF($C41="","",Resumen!$E$16)</f>
        <v/>
      </c>
      <c r="I41" s="34"/>
      <c r="J41" s="41"/>
      <c r="K41" s="41"/>
      <c r="L41" s="34"/>
      <c r="M41" s="42"/>
    </row>
    <row r="42" customFormat="false" ht="19.5" hidden="false" customHeight="true" outlineLevel="0" collapsed="false">
      <c r="B42" s="17" t="n">
        <v>2</v>
      </c>
      <c r="C42" s="39" t="str">
        <f aca="false">IF(D11="","",D11)</f>
        <v/>
      </c>
      <c r="D42" s="39"/>
      <c r="E42" s="14" t="str">
        <f aca="false">IF(E29="","",E29)</f>
        <v/>
      </c>
      <c r="F42" s="14" t="str">
        <f aca="false">IF(F29="","",F29)</f>
        <v/>
      </c>
      <c r="G42" s="40"/>
      <c r="H42" s="14" t="str">
        <f aca="false">IF($C42="","",Resumen!$E$16)</f>
        <v/>
      </c>
      <c r="I42" s="34"/>
      <c r="J42" s="41"/>
      <c r="K42" s="41"/>
      <c r="L42" s="34"/>
      <c r="M42" s="42"/>
    </row>
    <row r="43" customFormat="false" ht="19.5" hidden="false" customHeight="true" outlineLevel="0" collapsed="false">
      <c r="B43" s="17" t="n">
        <v>3</v>
      </c>
      <c r="C43" s="39" t="str">
        <f aca="false">IF(D12="","",D12)</f>
        <v/>
      </c>
      <c r="D43" s="39"/>
      <c r="E43" s="14" t="str">
        <f aca="false">IF(E30="","",E30)</f>
        <v/>
      </c>
      <c r="F43" s="14" t="str">
        <f aca="false">IF(F30="","",F30)</f>
        <v/>
      </c>
      <c r="G43" s="40"/>
      <c r="H43" s="14" t="str">
        <f aca="false">IF($C43="","",Resumen!$E$16)</f>
        <v/>
      </c>
      <c r="I43" s="34"/>
      <c r="J43" s="41"/>
      <c r="K43" s="41"/>
      <c r="L43" s="34"/>
      <c r="M43" s="42"/>
    </row>
    <row r="44" customFormat="false" ht="19.5" hidden="false" customHeight="true" outlineLevel="0" collapsed="false">
      <c r="B44" s="17" t="n">
        <v>4</v>
      </c>
      <c r="C44" s="39" t="str">
        <f aca="false">IF(D13="","",D13)</f>
        <v/>
      </c>
      <c r="D44" s="39"/>
      <c r="E44" s="14" t="str">
        <f aca="false">IF(E31="","",E31)</f>
        <v/>
      </c>
      <c r="F44" s="14" t="str">
        <f aca="false">IF(F31="","",F31)</f>
        <v/>
      </c>
      <c r="G44" s="40"/>
      <c r="H44" s="14" t="str">
        <f aca="false">IF($C44="","",Resumen!$E$16)</f>
        <v/>
      </c>
      <c r="I44" s="34"/>
      <c r="J44" s="41"/>
      <c r="K44" s="41"/>
      <c r="L44" s="34"/>
      <c r="M44" s="42"/>
    </row>
    <row r="45" customFormat="false" ht="19.5" hidden="false" customHeight="true" outlineLevel="0" collapsed="false">
      <c r="B45" s="17" t="n">
        <v>5</v>
      </c>
      <c r="C45" s="39" t="str">
        <f aca="false">IF(D14="","",D14)</f>
        <v/>
      </c>
      <c r="D45" s="39"/>
      <c r="E45" s="14" t="str">
        <f aca="false">IF(E32="","",E32)</f>
        <v/>
      </c>
      <c r="F45" s="14" t="str">
        <f aca="false">IF(F32="","",F32)</f>
        <v/>
      </c>
      <c r="G45" s="40"/>
      <c r="H45" s="14" t="str">
        <f aca="false">IF($C45="","",Resumen!$E$16)</f>
        <v/>
      </c>
      <c r="I45" s="34"/>
      <c r="J45" s="41"/>
      <c r="K45" s="41"/>
      <c r="L45" s="34"/>
      <c r="M45" s="42"/>
    </row>
    <row r="46" customFormat="false" ht="19.5" hidden="false" customHeight="true" outlineLevel="0" collapsed="false">
      <c r="B46" s="17" t="n">
        <v>6</v>
      </c>
      <c r="C46" s="39" t="str">
        <f aca="false">IF(D15="","",D15)</f>
        <v/>
      </c>
      <c r="D46" s="39"/>
      <c r="E46" s="14" t="str">
        <f aca="false">IF(E33="","",E33)</f>
        <v/>
      </c>
      <c r="F46" s="14" t="str">
        <f aca="false">IF(F33="","",F33)</f>
        <v/>
      </c>
      <c r="G46" s="40"/>
      <c r="H46" s="14" t="str">
        <f aca="false">IF($C46="","",Resumen!$E$16)</f>
        <v/>
      </c>
      <c r="I46" s="34"/>
      <c r="J46" s="41"/>
      <c r="K46" s="41"/>
      <c r="L46" s="34"/>
      <c r="M46" s="42"/>
    </row>
    <row r="47" customFormat="false" ht="19.5" hidden="false" customHeight="true" outlineLevel="0" collapsed="false">
      <c r="B47" s="17" t="n">
        <v>7</v>
      </c>
      <c r="C47" s="39" t="str">
        <f aca="false">IF(D16="","",D16)</f>
        <v/>
      </c>
      <c r="D47" s="39"/>
      <c r="E47" s="14" t="str">
        <f aca="false">IF(E34="","",E34)</f>
        <v/>
      </c>
      <c r="F47" s="14" t="str">
        <f aca="false">IF(F34="","",F34)</f>
        <v/>
      </c>
      <c r="G47" s="40"/>
      <c r="H47" s="14" t="str">
        <f aca="false">IF($C47="","",Resumen!$E$16)</f>
        <v/>
      </c>
      <c r="I47" s="34"/>
      <c r="J47" s="41"/>
      <c r="K47" s="41"/>
      <c r="L47" s="34"/>
      <c r="M47" s="42"/>
    </row>
    <row r="48" customFormat="false" ht="19.5" hidden="false" customHeight="true" outlineLevel="0" collapsed="false">
      <c r="B48" s="17" t="n">
        <v>8</v>
      </c>
      <c r="C48" s="39" t="str">
        <f aca="false">IF(D17="","",D17)</f>
        <v/>
      </c>
      <c r="D48" s="39"/>
      <c r="E48" s="14" t="str">
        <f aca="false">IF(E35="","",E35)</f>
        <v/>
      </c>
      <c r="F48" s="14" t="str">
        <f aca="false">IF(F35="","",F35)</f>
        <v/>
      </c>
      <c r="G48" s="40"/>
      <c r="H48" s="14" t="str">
        <f aca="false">IF($C48="","",Resumen!$E$16)</f>
        <v/>
      </c>
      <c r="I48" s="34"/>
      <c r="J48" s="41"/>
      <c r="K48" s="41"/>
      <c r="L48" s="34"/>
      <c r="M48" s="42"/>
    </row>
    <row r="50" customFormat="false" ht="21.75" hidden="false" customHeight="true" outlineLevel="0" collapsed="false">
      <c r="B50" s="4" t="str">
        <f aca="false">"SEMANA 3  ·  "&amp;UPPER(Resumen!D17)&amp;"  ·  RIR objetivo "&amp;Resumen!E17&amp;IF(Resumen!C17="","","  ·  "&amp;Resumen!C17)</f>
        <v>SEMANA 3  ·  INTENSIFICACIÓN  ·  RIR objetivo 1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customFormat="false" ht="19.5" hidden="false" customHeight="true" outlineLevel="0" collapsed="false">
      <c r="B51" s="32" t="s">
        <v>76</v>
      </c>
      <c r="C51" s="32"/>
      <c r="D51" s="33"/>
      <c r="E51" s="32" t="s">
        <v>77</v>
      </c>
      <c r="F51" s="32"/>
      <c r="G51" s="34"/>
      <c r="H51" s="32" t="s">
        <v>78</v>
      </c>
      <c r="I51" s="32"/>
      <c r="J51" s="32"/>
      <c r="K51" s="34"/>
    </row>
    <row r="52" customFormat="false" ht="15" hidden="false" customHeight="true" outlineLevel="0" collapsed="false">
      <c r="E52" s="35" t="s">
        <v>79</v>
      </c>
      <c r="F52" s="35"/>
      <c r="G52" s="35"/>
      <c r="H52" s="35"/>
      <c r="I52" s="36" t="s">
        <v>80</v>
      </c>
      <c r="J52" s="36"/>
      <c r="K52" s="36"/>
      <c r="L52" s="36"/>
    </row>
    <row r="53" customFormat="false" ht="19.5" hidden="false" customHeight="true" outlineLevel="0" collapsed="false">
      <c r="B53" s="37" t="s">
        <v>66</v>
      </c>
      <c r="C53" s="37" t="s">
        <v>68</v>
      </c>
      <c r="D53" s="37"/>
      <c r="E53" s="37" t="s">
        <v>81</v>
      </c>
      <c r="F53" s="37" t="s">
        <v>82</v>
      </c>
      <c r="G53" s="37" t="s">
        <v>83</v>
      </c>
      <c r="H53" s="37" t="s">
        <v>84</v>
      </c>
      <c r="I53" s="38" t="s">
        <v>81</v>
      </c>
      <c r="J53" s="38" t="s">
        <v>82</v>
      </c>
      <c r="K53" s="38" t="s">
        <v>85</v>
      </c>
      <c r="L53" s="38" t="s">
        <v>51</v>
      </c>
      <c r="M53" s="37" t="s">
        <v>86</v>
      </c>
    </row>
    <row r="54" customFormat="false" ht="19.5" hidden="false" customHeight="true" outlineLevel="0" collapsed="false">
      <c r="B54" s="17" t="n">
        <v>1</v>
      </c>
      <c r="C54" s="39" t="str">
        <f aca="false">IF(D10="","",D10)</f>
        <v/>
      </c>
      <c r="D54" s="39"/>
      <c r="E54" s="14" t="str">
        <f aca="false">IF(E41="","",E41)</f>
        <v/>
      </c>
      <c r="F54" s="14" t="str">
        <f aca="false">IF(F41="","",F41)</f>
        <v/>
      </c>
      <c r="G54" s="40"/>
      <c r="H54" s="14" t="str">
        <f aca="false">IF($C54="","",Resumen!$E$17)</f>
        <v/>
      </c>
      <c r="I54" s="34"/>
      <c r="J54" s="41"/>
      <c r="K54" s="41"/>
      <c r="L54" s="34"/>
      <c r="M54" s="42"/>
    </row>
    <row r="55" customFormat="false" ht="19.5" hidden="false" customHeight="true" outlineLevel="0" collapsed="false">
      <c r="B55" s="17" t="n">
        <v>2</v>
      </c>
      <c r="C55" s="39" t="str">
        <f aca="false">IF(D11="","",D11)</f>
        <v/>
      </c>
      <c r="D55" s="39"/>
      <c r="E55" s="14" t="str">
        <f aca="false">IF(E42="","",E42)</f>
        <v/>
      </c>
      <c r="F55" s="14" t="str">
        <f aca="false">IF(F42="","",F42)</f>
        <v/>
      </c>
      <c r="G55" s="40"/>
      <c r="H55" s="14" t="str">
        <f aca="false">IF($C55="","",Resumen!$E$17)</f>
        <v/>
      </c>
      <c r="I55" s="34"/>
      <c r="J55" s="41"/>
      <c r="K55" s="41"/>
      <c r="L55" s="34"/>
      <c r="M55" s="42"/>
    </row>
    <row r="56" customFormat="false" ht="19.5" hidden="false" customHeight="true" outlineLevel="0" collapsed="false">
      <c r="B56" s="17" t="n">
        <v>3</v>
      </c>
      <c r="C56" s="39" t="str">
        <f aca="false">IF(D12="","",D12)</f>
        <v/>
      </c>
      <c r="D56" s="39"/>
      <c r="E56" s="14" t="str">
        <f aca="false">IF(E43="","",E43)</f>
        <v/>
      </c>
      <c r="F56" s="14" t="str">
        <f aca="false">IF(F43="","",F43)</f>
        <v/>
      </c>
      <c r="G56" s="40"/>
      <c r="H56" s="14" t="str">
        <f aca="false">IF($C56="","",Resumen!$E$17)</f>
        <v/>
      </c>
      <c r="I56" s="34"/>
      <c r="J56" s="41"/>
      <c r="K56" s="41"/>
      <c r="L56" s="34"/>
      <c r="M56" s="42"/>
    </row>
    <row r="57" customFormat="false" ht="19.5" hidden="false" customHeight="true" outlineLevel="0" collapsed="false">
      <c r="B57" s="17" t="n">
        <v>4</v>
      </c>
      <c r="C57" s="39" t="str">
        <f aca="false">IF(D13="","",D13)</f>
        <v/>
      </c>
      <c r="D57" s="39"/>
      <c r="E57" s="14" t="str">
        <f aca="false">IF(E44="","",E44)</f>
        <v/>
      </c>
      <c r="F57" s="14" t="str">
        <f aca="false">IF(F44="","",F44)</f>
        <v/>
      </c>
      <c r="G57" s="40"/>
      <c r="H57" s="14" t="str">
        <f aca="false">IF($C57="","",Resumen!$E$17)</f>
        <v/>
      </c>
      <c r="I57" s="34"/>
      <c r="J57" s="41"/>
      <c r="K57" s="41"/>
      <c r="L57" s="34"/>
      <c r="M57" s="42"/>
    </row>
    <row r="58" customFormat="false" ht="19.5" hidden="false" customHeight="true" outlineLevel="0" collapsed="false">
      <c r="B58" s="17" t="n">
        <v>5</v>
      </c>
      <c r="C58" s="39" t="str">
        <f aca="false">IF(D14="","",D14)</f>
        <v/>
      </c>
      <c r="D58" s="39"/>
      <c r="E58" s="14" t="str">
        <f aca="false">IF(E45="","",E45)</f>
        <v/>
      </c>
      <c r="F58" s="14" t="str">
        <f aca="false">IF(F45="","",F45)</f>
        <v/>
      </c>
      <c r="G58" s="40"/>
      <c r="H58" s="14" t="str">
        <f aca="false">IF($C58="","",Resumen!$E$17)</f>
        <v/>
      </c>
      <c r="I58" s="34"/>
      <c r="J58" s="41"/>
      <c r="K58" s="41"/>
      <c r="L58" s="34"/>
      <c r="M58" s="42"/>
    </row>
    <row r="59" customFormat="false" ht="19.5" hidden="false" customHeight="true" outlineLevel="0" collapsed="false">
      <c r="B59" s="17" t="n">
        <v>6</v>
      </c>
      <c r="C59" s="39" t="str">
        <f aca="false">IF(D15="","",D15)</f>
        <v/>
      </c>
      <c r="D59" s="39"/>
      <c r="E59" s="14" t="str">
        <f aca="false">IF(E46="","",E46)</f>
        <v/>
      </c>
      <c r="F59" s="14" t="str">
        <f aca="false">IF(F46="","",F46)</f>
        <v/>
      </c>
      <c r="G59" s="40"/>
      <c r="H59" s="14" t="str">
        <f aca="false">IF($C59="","",Resumen!$E$17)</f>
        <v/>
      </c>
      <c r="I59" s="34"/>
      <c r="J59" s="41"/>
      <c r="K59" s="41"/>
      <c r="L59" s="34"/>
      <c r="M59" s="42"/>
    </row>
    <row r="60" customFormat="false" ht="19.5" hidden="false" customHeight="true" outlineLevel="0" collapsed="false">
      <c r="B60" s="17" t="n">
        <v>7</v>
      </c>
      <c r="C60" s="39" t="str">
        <f aca="false">IF(D16="","",D16)</f>
        <v/>
      </c>
      <c r="D60" s="39"/>
      <c r="E60" s="14" t="str">
        <f aca="false">IF(E47="","",E47)</f>
        <v/>
      </c>
      <c r="F60" s="14" t="str">
        <f aca="false">IF(F47="","",F47)</f>
        <v/>
      </c>
      <c r="G60" s="40"/>
      <c r="H60" s="14" t="str">
        <f aca="false">IF($C60="","",Resumen!$E$17)</f>
        <v/>
      </c>
      <c r="I60" s="34"/>
      <c r="J60" s="41"/>
      <c r="K60" s="41"/>
      <c r="L60" s="34"/>
      <c r="M60" s="42"/>
    </row>
    <row r="61" customFormat="false" ht="19.5" hidden="false" customHeight="true" outlineLevel="0" collapsed="false">
      <c r="B61" s="17" t="n">
        <v>8</v>
      </c>
      <c r="C61" s="39" t="str">
        <f aca="false">IF(D17="","",D17)</f>
        <v/>
      </c>
      <c r="D61" s="39"/>
      <c r="E61" s="14" t="str">
        <f aca="false">IF(E48="","",E48)</f>
        <v/>
      </c>
      <c r="F61" s="14" t="str">
        <f aca="false">IF(F48="","",F48)</f>
        <v/>
      </c>
      <c r="G61" s="40"/>
      <c r="H61" s="14" t="str">
        <f aca="false">IF($C61="","",Resumen!$E$17)</f>
        <v/>
      </c>
      <c r="I61" s="34"/>
      <c r="J61" s="41"/>
      <c r="K61" s="41"/>
      <c r="L61" s="34"/>
      <c r="M61" s="42"/>
    </row>
    <row r="63" customFormat="false" ht="21.75" hidden="false" customHeight="true" outlineLevel="0" collapsed="false">
      <c r="B63" s="4" t="str">
        <f aca="false">"SEMANA 4  ·  "&amp;UPPER(Resumen!D18)&amp;"  ·  RIR objetivo "&amp;Resumen!E18&amp;IF(Resumen!C18="","","  ·  "&amp;Resumen!C18)</f>
        <v>SEMANA 4  ·  DESCARGA  ·  RIR objetivo 4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customFormat="false" ht="19.5" hidden="false" customHeight="true" outlineLevel="0" collapsed="false">
      <c r="B64" s="32" t="s">
        <v>76</v>
      </c>
      <c r="C64" s="32"/>
      <c r="D64" s="33"/>
      <c r="E64" s="32" t="s">
        <v>77</v>
      </c>
      <c r="F64" s="32"/>
      <c r="G64" s="34"/>
      <c r="H64" s="32" t="s">
        <v>78</v>
      </c>
      <c r="I64" s="32"/>
      <c r="J64" s="32"/>
      <c r="K64" s="34"/>
    </row>
    <row r="65" customFormat="false" ht="15" hidden="false" customHeight="true" outlineLevel="0" collapsed="false">
      <c r="E65" s="35" t="s">
        <v>79</v>
      </c>
      <c r="F65" s="35"/>
      <c r="G65" s="35"/>
      <c r="H65" s="35"/>
      <c r="I65" s="36" t="s">
        <v>80</v>
      </c>
      <c r="J65" s="36"/>
      <c r="K65" s="36"/>
      <c r="L65" s="36"/>
    </row>
    <row r="66" customFormat="false" ht="19.5" hidden="false" customHeight="true" outlineLevel="0" collapsed="false">
      <c r="B66" s="37" t="s">
        <v>66</v>
      </c>
      <c r="C66" s="37" t="s">
        <v>68</v>
      </c>
      <c r="D66" s="37"/>
      <c r="E66" s="37" t="s">
        <v>81</v>
      </c>
      <c r="F66" s="37" t="s">
        <v>82</v>
      </c>
      <c r="G66" s="37" t="s">
        <v>83</v>
      </c>
      <c r="H66" s="37" t="s">
        <v>84</v>
      </c>
      <c r="I66" s="38" t="s">
        <v>81</v>
      </c>
      <c r="J66" s="38" t="s">
        <v>82</v>
      </c>
      <c r="K66" s="38" t="s">
        <v>85</v>
      </c>
      <c r="L66" s="38" t="s">
        <v>51</v>
      </c>
      <c r="M66" s="37" t="s">
        <v>86</v>
      </c>
    </row>
    <row r="67" customFormat="false" ht="19.5" hidden="false" customHeight="true" outlineLevel="0" collapsed="false">
      <c r="B67" s="17" t="n">
        <v>1</v>
      </c>
      <c r="C67" s="39" t="str">
        <f aca="false">IF(D10="","",D10)</f>
        <v/>
      </c>
      <c r="D67" s="39"/>
      <c r="E67" s="14" t="str">
        <f aca="false">IF(E54="","",E54)</f>
        <v/>
      </c>
      <c r="F67" s="14" t="str">
        <f aca="false">IF(F54="","",F54)</f>
        <v/>
      </c>
      <c r="G67" s="40"/>
      <c r="H67" s="14" t="str">
        <f aca="false">IF($C67="","",Resumen!$E$18)</f>
        <v/>
      </c>
      <c r="I67" s="34"/>
      <c r="J67" s="41"/>
      <c r="K67" s="41"/>
      <c r="L67" s="34"/>
      <c r="M67" s="42"/>
    </row>
    <row r="68" customFormat="false" ht="19.5" hidden="false" customHeight="true" outlineLevel="0" collapsed="false">
      <c r="B68" s="17" t="n">
        <v>2</v>
      </c>
      <c r="C68" s="39" t="str">
        <f aca="false">IF(D11="","",D11)</f>
        <v/>
      </c>
      <c r="D68" s="39"/>
      <c r="E68" s="14" t="str">
        <f aca="false">IF(E55="","",E55)</f>
        <v/>
      </c>
      <c r="F68" s="14" t="str">
        <f aca="false">IF(F55="","",F55)</f>
        <v/>
      </c>
      <c r="G68" s="40"/>
      <c r="H68" s="14" t="str">
        <f aca="false">IF($C68="","",Resumen!$E$18)</f>
        <v/>
      </c>
      <c r="I68" s="34"/>
      <c r="J68" s="41"/>
      <c r="K68" s="41"/>
      <c r="L68" s="34"/>
      <c r="M68" s="42"/>
    </row>
    <row r="69" customFormat="false" ht="19.5" hidden="false" customHeight="true" outlineLevel="0" collapsed="false">
      <c r="B69" s="17" t="n">
        <v>3</v>
      </c>
      <c r="C69" s="39" t="str">
        <f aca="false">IF(D12="","",D12)</f>
        <v/>
      </c>
      <c r="D69" s="39"/>
      <c r="E69" s="14" t="str">
        <f aca="false">IF(E56="","",E56)</f>
        <v/>
      </c>
      <c r="F69" s="14" t="str">
        <f aca="false">IF(F56="","",F56)</f>
        <v/>
      </c>
      <c r="G69" s="40"/>
      <c r="H69" s="14" t="str">
        <f aca="false">IF($C69="","",Resumen!$E$18)</f>
        <v/>
      </c>
      <c r="I69" s="34"/>
      <c r="J69" s="41"/>
      <c r="K69" s="41"/>
      <c r="L69" s="34"/>
      <c r="M69" s="42"/>
    </row>
    <row r="70" customFormat="false" ht="19.5" hidden="false" customHeight="true" outlineLevel="0" collapsed="false">
      <c r="B70" s="17" t="n">
        <v>4</v>
      </c>
      <c r="C70" s="39" t="str">
        <f aca="false">IF(D13="","",D13)</f>
        <v/>
      </c>
      <c r="D70" s="39"/>
      <c r="E70" s="14" t="str">
        <f aca="false">IF(E57="","",E57)</f>
        <v/>
      </c>
      <c r="F70" s="14" t="str">
        <f aca="false">IF(F57="","",F57)</f>
        <v/>
      </c>
      <c r="G70" s="40"/>
      <c r="H70" s="14" t="str">
        <f aca="false">IF($C70="","",Resumen!$E$18)</f>
        <v/>
      </c>
      <c r="I70" s="34"/>
      <c r="J70" s="41"/>
      <c r="K70" s="41"/>
      <c r="L70" s="34"/>
      <c r="M70" s="42"/>
    </row>
    <row r="71" customFormat="false" ht="19.5" hidden="false" customHeight="true" outlineLevel="0" collapsed="false">
      <c r="B71" s="17" t="n">
        <v>5</v>
      </c>
      <c r="C71" s="39" t="str">
        <f aca="false">IF(D14="","",D14)</f>
        <v/>
      </c>
      <c r="D71" s="39"/>
      <c r="E71" s="14" t="str">
        <f aca="false">IF(E58="","",E58)</f>
        <v/>
      </c>
      <c r="F71" s="14" t="str">
        <f aca="false">IF(F58="","",F58)</f>
        <v/>
      </c>
      <c r="G71" s="40"/>
      <c r="H71" s="14" t="str">
        <f aca="false">IF($C71="","",Resumen!$E$18)</f>
        <v/>
      </c>
      <c r="I71" s="34"/>
      <c r="J71" s="41"/>
      <c r="K71" s="41"/>
      <c r="L71" s="34"/>
      <c r="M71" s="42"/>
    </row>
    <row r="72" customFormat="false" ht="19.5" hidden="false" customHeight="true" outlineLevel="0" collapsed="false">
      <c r="B72" s="17" t="n">
        <v>6</v>
      </c>
      <c r="C72" s="39" t="str">
        <f aca="false">IF(D15="","",D15)</f>
        <v/>
      </c>
      <c r="D72" s="39"/>
      <c r="E72" s="14" t="str">
        <f aca="false">IF(E59="","",E59)</f>
        <v/>
      </c>
      <c r="F72" s="14" t="str">
        <f aca="false">IF(F59="","",F59)</f>
        <v/>
      </c>
      <c r="G72" s="40"/>
      <c r="H72" s="14" t="str">
        <f aca="false">IF($C72="","",Resumen!$E$18)</f>
        <v/>
      </c>
      <c r="I72" s="34"/>
      <c r="J72" s="41"/>
      <c r="K72" s="41"/>
      <c r="L72" s="34"/>
      <c r="M72" s="42"/>
    </row>
    <row r="73" customFormat="false" ht="19.5" hidden="false" customHeight="true" outlineLevel="0" collapsed="false">
      <c r="B73" s="17" t="n">
        <v>7</v>
      </c>
      <c r="C73" s="39" t="str">
        <f aca="false">IF(D16="","",D16)</f>
        <v/>
      </c>
      <c r="D73" s="39"/>
      <c r="E73" s="14" t="str">
        <f aca="false">IF(E60="","",E60)</f>
        <v/>
      </c>
      <c r="F73" s="14" t="str">
        <f aca="false">IF(F60="","",F60)</f>
        <v/>
      </c>
      <c r="G73" s="40"/>
      <c r="H73" s="14" t="str">
        <f aca="false">IF($C73="","",Resumen!$E$18)</f>
        <v/>
      </c>
      <c r="I73" s="34"/>
      <c r="J73" s="41"/>
      <c r="K73" s="41"/>
      <c r="L73" s="34"/>
      <c r="M73" s="42"/>
    </row>
    <row r="74" customFormat="false" ht="19.5" hidden="false" customHeight="true" outlineLevel="0" collapsed="false">
      <c r="B74" s="17" t="n">
        <v>8</v>
      </c>
      <c r="C74" s="39" t="str">
        <f aca="false">IF(D17="","",D17)</f>
        <v/>
      </c>
      <c r="D74" s="39"/>
      <c r="E74" s="14" t="str">
        <f aca="false">IF(E61="","",E61)</f>
        <v/>
      </c>
      <c r="F74" s="14" t="str">
        <f aca="false">IF(F61="","",F61)</f>
        <v/>
      </c>
      <c r="G74" s="40"/>
      <c r="H74" s="14" t="str">
        <f aca="false">IF($C74="","",Resumen!$E$18)</f>
        <v/>
      </c>
      <c r="I74" s="34"/>
      <c r="J74" s="41"/>
      <c r="K74" s="41"/>
      <c r="L74" s="34"/>
      <c r="M74" s="42"/>
    </row>
    <row r="76" customFormat="false" ht="19.5" hidden="false" customHeight="true" outlineLevel="0" collapsed="false">
      <c r="B76" s="43" t="s">
        <v>87</v>
      </c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</row>
    <row r="77" customFormat="false" ht="19.5" hidden="false" customHeight="true" outlineLevel="0" collapsed="false">
      <c r="B77" s="37" t="s">
        <v>66</v>
      </c>
      <c r="C77" s="37" t="s">
        <v>68</v>
      </c>
      <c r="D77" s="37"/>
      <c r="E77" s="37" t="s">
        <v>88</v>
      </c>
      <c r="F77" s="37" t="s">
        <v>89</v>
      </c>
      <c r="G77" s="37" t="s">
        <v>90</v>
      </c>
      <c r="H77" s="37" t="s">
        <v>91</v>
      </c>
      <c r="I77" s="37" t="s">
        <v>92</v>
      </c>
      <c r="J77" s="37" t="s">
        <v>93</v>
      </c>
      <c r="K77" s="37" t="s">
        <v>94</v>
      </c>
      <c r="L77" s="37"/>
      <c r="M77" s="37"/>
    </row>
    <row r="78" customFormat="false" ht="18" hidden="false" customHeight="true" outlineLevel="0" collapsed="false">
      <c r="B78" s="12" t="n">
        <v>1</v>
      </c>
      <c r="C78" s="44" t="str">
        <f aca="false">IF(D10="","",D10)</f>
        <v/>
      </c>
      <c r="D78" s="44"/>
      <c r="E78" s="45" t="str">
        <f aca="false">IF(K28="","",IF(ISNUMBER(K28),K28,IFERROR(IFERROR(LEFT(TRIM(RIGHT(SUBSTITUTE(SUBSTITUTE(K28,".",""),"-",REPT(" ",50)),50)),FIND(",",TRIM(RIGHT(SUBSTITUTE(SUBSTITUTE(K28,".",""),"-",REPT(" ",50)),50)))-1)*1,TRIM(RIGHT(SUBSTITUTE(SUBSTITUTE(K28,".",""),"-",REPT(" ",50)),50))*1)+IFERROR(MID(TRIM(RIGHT(SUBSTITUTE(SUBSTITUTE(K28,".",""),"-",REPT(" ",50)),50)),FIND(",",TRIM(RIGHT(SUBSTITUTE(SUBSTITUTE(K28,".",""),"-",REPT(" ",50)),50)))+1,9)/10^LEN(MID(TRIM(RIGHT(SUBSTITUTE(SUBSTITUTE(K28,".",""),"-",REPT(" ",50)),50)),FIND(",",TRIM(RIGHT(SUBSTITUTE(SUBSTITUTE(K28,".",""),"-",REPT(" ",50)),50)))+1,9)),0),"")))</f>
        <v/>
      </c>
      <c r="F78" s="45" t="str">
        <f aca="false">IF(K41="","",IF(ISNUMBER(K41),K41,IFERROR(IFERROR(LEFT(TRIM(RIGHT(SUBSTITUTE(SUBSTITUTE(K41,".",""),"-",REPT(" ",50)),50)),FIND(",",TRIM(RIGHT(SUBSTITUTE(SUBSTITUTE(K41,".",""),"-",REPT(" ",50)),50)))-1)*1,TRIM(RIGHT(SUBSTITUTE(SUBSTITUTE(K41,".",""),"-",REPT(" ",50)),50))*1)+IFERROR(MID(TRIM(RIGHT(SUBSTITUTE(SUBSTITUTE(K41,".",""),"-",REPT(" ",50)),50)),FIND(",",TRIM(RIGHT(SUBSTITUTE(SUBSTITUTE(K41,".",""),"-",REPT(" ",50)),50)))+1,9)/10^LEN(MID(TRIM(RIGHT(SUBSTITUTE(SUBSTITUTE(K41,".",""),"-",REPT(" ",50)),50)),FIND(",",TRIM(RIGHT(SUBSTITUTE(SUBSTITUTE(K41,".",""),"-",REPT(" ",50)),50)))+1,9)),0),"")))</f>
        <v/>
      </c>
      <c r="G78" s="45" t="str">
        <f aca="false">IF(K54="","",IF(ISNUMBER(K54),K54,IFERROR(IFERROR(LEFT(TRIM(RIGHT(SUBSTITUTE(SUBSTITUTE(K54,".",""),"-",REPT(" ",50)),50)),FIND(",",TRIM(RIGHT(SUBSTITUTE(SUBSTITUTE(K54,".",""),"-",REPT(" ",50)),50)))-1)*1,TRIM(RIGHT(SUBSTITUTE(SUBSTITUTE(K54,".",""),"-",REPT(" ",50)),50))*1)+IFERROR(MID(TRIM(RIGHT(SUBSTITUTE(SUBSTITUTE(K54,".",""),"-",REPT(" ",50)),50)),FIND(",",TRIM(RIGHT(SUBSTITUTE(SUBSTITUTE(K54,".",""),"-",REPT(" ",50)),50)))+1,9)/10^LEN(MID(TRIM(RIGHT(SUBSTITUTE(SUBSTITUTE(K54,".",""),"-",REPT(" ",50)),50)),FIND(",",TRIM(RIGHT(SUBSTITUTE(SUBSTITUTE(K54,".",""),"-",REPT(" ",50)),50)))+1,9)),0),"")))</f>
        <v/>
      </c>
      <c r="H78" s="45" t="str">
        <f aca="false">IF(K67="","",IF(ISNUMBER(K67),K67,IFERROR(IFERROR(LEFT(TRIM(RIGHT(SUBSTITUTE(SUBSTITUTE(K67,".",""),"-",REPT(" ",50)),50)),FIND(",",TRIM(RIGHT(SUBSTITUTE(SUBSTITUTE(K67,".",""),"-",REPT(" ",50)),50)))-1)*1,TRIM(RIGHT(SUBSTITUTE(SUBSTITUTE(K67,".",""),"-",REPT(" ",50)),50))*1)+IFERROR(MID(TRIM(RIGHT(SUBSTITUTE(SUBSTITUTE(K67,".",""),"-",REPT(" ",50)),50)),FIND(",",TRIM(RIGHT(SUBSTITUTE(SUBSTITUTE(K67,".",""),"-",REPT(" ",50)),50)))+1,9)/10^LEN(MID(TRIM(RIGHT(SUBSTITUTE(SUBSTITUTE(K67,".",""),"-",REPT(" ",50)),50)),FIND(",",TRIM(RIGHT(SUBSTITUTE(SUBSTITUTE(K67,".",""),"-",REPT(" ",50)),50)))+1,9)),0),"")))</f>
        <v/>
      </c>
      <c r="I78" s="46" t="str">
        <f aca="false">IF(OR(E78="",G78=""),"",G78-E78)</f>
        <v/>
      </c>
      <c r="J78" s="47" t="str">
        <f aca="false">IF(OR(E78="",G78="",E78=0),"",(G78-E78)/E78)</f>
        <v/>
      </c>
      <c r="K78" s="13" t="str">
        <f aca="false">IF(I78="","",IF(I78&gt;0,"▲ Progresa",IF(I78=0,"■ Estable","▼ Revisar")))</f>
        <v/>
      </c>
      <c r="L78" s="13"/>
      <c r="M78" s="13"/>
    </row>
    <row r="79" customFormat="false" ht="18" hidden="false" customHeight="true" outlineLevel="0" collapsed="false">
      <c r="B79" s="17" t="n">
        <v>2</v>
      </c>
      <c r="C79" s="39" t="str">
        <f aca="false">IF(D11="","",D11)</f>
        <v/>
      </c>
      <c r="D79" s="39"/>
      <c r="E79" s="48" t="str">
        <f aca="false">IF(K29="","",IF(ISNUMBER(K29),K29,IFERROR(IFERROR(LEFT(TRIM(RIGHT(SUBSTITUTE(SUBSTITUTE(K29,".",""),"-",REPT(" ",50)),50)),FIND(",",TRIM(RIGHT(SUBSTITUTE(SUBSTITUTE(K29,".",""),"-",REPT(" ",50)),50)))-1)*1,TRIM(RIGHT(SUBSTITUTE(SUBSTITUTE(K29,".",""),"-",REPT(" ",50)),50))*1)+IFERROR(MID(TRIM(RIGHT(SUBSTITUTE(SUBSTITUTE(K29,".",""),"-",REPT(" ",50)),50)),FIND(",",TRIM(RIGHT(SUBSTITUTE(SUBSTITUTE(K29,".",""),"-",REPT(" ",50)),50)))+1,9)/10^LEN(MID(TRIM(RIGHT(SUBSTITUTE(SUBSTITUTE(K29,".",""),"-",REPT(" ",50)),50)),FIND(",",TRIM(RIGHT(SUBSTITUTE(SUBSTITUTE(K29,".",""),"-",REPT(" ",50)),50)))+1,9)),0),"")))</f>
        <v/>
      </c>
      <c r="F79" s="48" t="str">
        <f aca="false">IF(K42="","",IF(ISNUMBER(K42),K42,IFERROR(IFERROR(LEFT(TRIM(RIGHT(SUBSTITUTE(SUBSTITUTE(K42,".",""),"-",REPT(" ",50)),50)),FIND(",",TRIM(RIGHT(SUBSTITUTE(SUBSTITUTE(K42,".",""),"-",REPT(" ",50)),50)))-1)*1,TRIM(RIGHT(SUBSTITUTE(SUBSTITUTE(K42,".",""),"-",REPT(" ",50)),50))*1)+IFERROR(MID(TRIM(RIGHT(SUBSTITUTE(SUBSTITUTE(K42,".",""),"-",REPT(" ",50)),50)),FIND(",",TRIM(RIGHT(SUBSTITUTE(SUBSTITUTE(K42,".",""),"-",REPT(" ",50)),50)))+1,9)/10^LEN(MID(TRIM(RIGHT(SUBSTITUTE(SUBSTITUTE(K42,".",""),"-",REPT(" ",50)),50)),FIND(",",TRIM(RIGHT(SUBSTITUTE(SUBSTITUTE(K42,".",""),"-",REPT(" ",50)),50)))+1,9)),0),"")))</f>
        <v/>
      </c>
      <c r="G79" s="48" t="str">
        <f aca="false">IF(K55="","",IF(ISNUMBER(K55),K55,IFERROR(IFERROR(LEFT(TRIM(RIGHT(SUBSTITUTE(SUBSTITUTE(K55,".",""),"-",REPT(" ",50)),50)),FIND(",",TRIM(RIGHT(SUBSTITUTE(SUBSTITUTE(K55,".",""),"-",REPT(" ",50)),50)))-1)*1,TRIM(RIGHT(SUBSTITUTE(SUBSTITUTE(K55,".",""),"-",REPT(" ",50)),50))*1)+IFERROR(MID(TRIM(RIGHT(SUBSTITUTE(SUBSTITUTE(K55,".",""),"-",REPT(" ",50)),50)),FIND(",",TRIM(RIGHT(SUBSTITUTE(SUBSTITUTE(K55,".",""),"-",REPT(" ",50)),50)))+1,9)/10^LEN(MID(TRIM(RIGHT(SUBSTITUTE(SUBSTITUTE(K55,".",""),"-",REPT(" ",50)),50)),FIND(",",TRIM(RIGHT(SUBSTITUTE(SUBSTITUTE(K55,".",""),"-",REPT(" ",50)),50)))+1,9)),0),"")))</f>
        <v/>
      </c>
      <c r="H79" s="48" t="str">
        <f aca="false">IF(K68="","",IF(ISNUMBER(K68),K68,IFERROR(IFERROR(LEFT(TRIM(RIGHT(SUBSTITUTE(SUBSTITUTE(K68,".",""),"-",REPT(" ",50)),50)),FIND(",",TRIM(RIGHT(SUBSTITUTE(SUBSTITUTE(K68,".",""),"-",REPT(" ",50)),50)))-1)*1,TRIM(RIGHT(SUBSTITUTE(SUBSTITUTE(K68,".",""),"-",REPT(" ",50)),50))*1)+IFERROR(MID(TRIM(RIGHT(SUBSTITUTE(SUBSTITUTE(K68,".",""),"-",REPT(" ",50)),50)),FIND(",",TRIM(RIGHT(SUBSTITUTE(SUBSTITUTE(K68,".",""),"-",REPT(" ",50)),50)))+1,9)/10^LEN(MID(TRIM(RIGHT(SUBSTITUTE(SUBSTITUTE(K68,".",""),"-",REPT(" ",50)),50)),FIND(",",TRIM(RIGHT(SUBSTITUTE(SUBSTITUTE(K68,".",""),"-",REPT(" ",50)),50)))+1,9)),0),"")))</f>
        <v/>
      </c>
      <c r="I79" s="49" t="str">
        <f aca="false">IF(OR(E79="",G79=""),"",G79-E79)</f>
        <v/>
      </c>
      <c r="J79" s="50" t="str">
        <f aca="false">IF(OR(E79="",G79="",E79=0),"",(G79-E79)/E79)</f>
        <v/>
      </c>
      <c r="K79" s="18" t="str">
        <f aca="false">IF(I79="","",IF(I79&gt;0,"▲ Progresa",IF(I79=0,"■ Estable","▼ Revisar")))</f>
        <v/>
      </c>
      <c r="L79" s="18"/>
      <c r="M79" s="18"/>
    </row>
    <row r="80" customFormat="false" ht="18" hidden="false" customHeight="true" outlineLevel="0" collapsed="false">
      <c r="B80" s="12" t="n">
        <v>3</v>
      </c>
      <c r="C80" s="44" t="str">
        <f aca="false">IF(D12="","",D12)</f>
        <v/>
      </c>
      <c r="D80" s="44"/>
      <c r="E80" s="45" t="str">
        <f aca="false">IF(K30="","",IF(ISNUMBER(K30),K30,IFERROR(IFERROR(LEFT(TRIM(RIGHT(SUBSTITUTE(SUBSTITUTE(K30,".",""),"-",REPT(" ",50)),50)),FIND(",",TRIM(RIGHT(SUBSTITUTE(SUBSTITUTE(K30,".",""),"-",REPT(" ",50)),50)))-1)*1,TRIM(RIGHT(SUBSTITUTE(SUBSTITUTE(K30,".",""),"-",REPT(" ",50)),50))*1)+IFERROR(MID(TRIM(RIGHT(SUBSTITUTE(SUBSTITUTE(K30,".",""),"-",REPT(" ",50)),50)),FIND(",",TRIM(RIGHT(SUBSTITUTE(SUBSTITUTE(K30,".",""),"-",REPT(" ",50)),50)))+1,9)/10^LEN(MID(TRIM(RIGHT(SUBSTITUTE(SUBSTITUTE(K30,".",""),"-",REPT(" ",50)),50)),FIND(",",TRIM(RIGHT(SUBSTITUTE(SUBSTITUTE(K30,".",""),"-",REPT(" ",50)),50)))+1,9)),0),"")))</f>
        <v/>
      </c>
      <c r="F80" s="45" t="str">
        <f aca="false">IF(K43="","",IF(ISNUMBER(K43),K43,IFERROR(IFERROR(LEFT(TRIM(RIGHT(SUBSTITUTE(SUBSTITUTE(K43,".",""),"-",REPT(" ",50)),50)),FIND(",",TRIM(RIGHT(SUBSTITUTE(SUBSTITUTE(K43,".",""),"-",REPT(" ",50)),50)))-1)*1,TRIM(RIGHT(SUBSTITUTE(SUBSTITUTE(K43,".",""),"-",REPT(" ",50)),50))*1)+IFERROR(MID(TRIM(RIGHT(SUBSTITUTE(SUBSTITUTE(K43,".",""),"-",REPT(" ",50)),50)),FIND(",",TRIM(RIGHT(SUBSTITUTE(SUBSTITUTE(K43,".",""),"-",REPT(" ",50)),50)))+1,9)/10^LEN(MID(TRIM(RIGHT(SUBSTITUTE(SUBSTITUTE(K43,".",""),"-",REPT(" ",50)),50)),FIND(",",TRIM(RIGHT(SUBSTITUTE(SUBSTITUTE(K43,".",""),"-",REPT(" ",50)),50)))+1,9)),0),"")))</f>
        <v/>
      </c>
      <c r="G80" s="45" t="str">
        <f aca="false">IF(K56="","",IF(ISNUMBER(K56),K56,IFERROR(IFERROR(LEFT(TRIM(RIGHT(SUBSTITUTE(SUBSTITUTE(K56,".",""),"-",REPT(" ",50)),50)),FIND(",",TRIM(RIGHT(SUBSTITUTE(SUBSTITUTE(K56,".",""),"-",REPT(" ",50)),50)))-1)*1,TRIM(RIGHT(SUBSTITUTE(SUBSTITUTE(K56,".",""),"-",REPT(" ",50)),50))*1)+IFERROR(MID(TRIM(RIGHT(SUBSTITUTE(SUBSTITUTE(K56,".",""),"-",REPT(" ",50)),50)),FIND(",",TRIM(RIGHT(SUBSTITUTE(SUBSTITUTE(K56,".",""),"-",REPT(" ",50)),50)))+1,9)/10^LEN(MID(TRIM(RIGHT(SUBSTITUTE(SUBSTITUTE(K56,".",""),"-",REPT(" ",50)),50)),FIND(",",TRIM(RIGHT(SUBSTITUTE(SUBSTITUTE(K56,".",""),"-",REPT(" ",50)),50)))+1,9)),0),"")))</f>
        <v/>
      </c>
      <c r="H80" s="45" t="str">
        <f aca="false">IF(K69="","",IF(ISNUMBER(K69),K69,IFERROR(IFERROR(LEFT(TRIM(RIGHT(SUBSTITUTE(SUBSTITUTE(K69,".",""),"-",REPT(" ",50)),50)),FIND(",",TRIM(RIGHT(SUBSTITUTE(SUBSTITUTE(K69,".",""),"-",REPT(" ",50)),50)))-1)*1,TRIM(RIGHT(SUBSTITUTE(SUBSTITUTE(K69,".",""),"-",REPT(" ",50)),50))*1)+IFERROR(MID(TRIM(RIGHT(SUBSTITUTE(SUBSTITUTE(K69,".",""),"-",REPT(" ",50)),50)),FIND(",",TRIM(RIGHT(SUBSTITUTE(SUBSTITUTE(K69,".",""),"-",REPT(" ",50)),50)))+1,9)/10^LEN(MID(TRIM(RIGHT(SUBSTITUTE(SUBSTITUTE(K69,".",""),"-",REPT(" ",50)),50)),FIND(",",TRIM(RIGHT(SUBSTITUTE(SUBSTITUTE(K69,".",""),"-",REPT(" ",50)),50)))+1,9)),0),"")))</f>
        <v/>
      </c>
      <c r="I80" s="46" t="str">
        <f aca="false">IF(OR(E80="",G80=""),"",G80-E80)</f>
        <v/>
      </c>
      <c r="J80" s="47" t="str">
        <f aca="false">IF(OR(E80="",G80="",E80=0),"",(G80-E80)/E80)</f>
        <v/>
      </c>
      <c r="K80" s="13" t="str">
        <f aca="false">IF(I80="","",IF(I80&gt;0,"▲ Progresa",IF(I80=0,"■ Estable","▼ Revisar")))</f>
        <v/>
      </c>
      <c r="L80" s="13"/>
      <c r="M80" s="13"/>
    </row>
    <row r="81" customFormat="false" ht="18" hidden="false" customHeight="true" outlineLevel="0" collapsed="false">
      <c r="B81" s="17" t="n">
        <v>4</v>
      </c>
      <c r="C81" s="39" t="str">
        <f aca="false">IF(D13="","",D13)</f>
        <v/>
      </c>
      <c r="D81" s="39"/>
      <c r="E81" s="48" t="str">
        <f aca="false">IF(K31="","",IF(ISNUMBER(K31),K31,IFERROR(IFERROR(LEFT(TRIM(RIGHT(SUBSTITUTE(SUBSTITUTE(K31,".",""),"-",REPT(" ",50)),50)),FIND(",",TRIM(RIGHT(SUBSTITUTE(SUBSTITUTE(K31,".",""),"-",REPT(" ",50)),50)))-1)*1,TRIM(RIGHT(SUBSTITUTE(SUBSTITUTE(K31,".",""),"-",REPT(" ",50)),50))*1)+IFERROR(MID(TRIM(RIGHT(SUBSTITUTE(SUBSTITUTE(K31,".",""),"-",REPT(" ",50)),50)),FIND(",",TRIM(RIGHT(SUBSTITUTE(SUBSTITUTE(K31,".",""),"-",REPT(" ",50)),50)))+1,9)/10^LEN(MID(TRIM(RIGHT(SUBSTITUTE(SUBSTITUTE(K31,".",""),"-",REPT(" ",50)),50)),FIND(",",TRIM(RIGHT(SUBSTITUTE(SUBSTITUTE(K31,".",""),"-",REPT(" ",50)),50)))+1,9)),0),"")))</f>
        <v/>
      </c>
      <c r="F81" s="48" t="str">
        <f aca="false">IF(K44="","",IF(ISNUMBER(K44),K44,IFERROR(IFERROR(LEFT(TRIM(RIGHT(SUBSTITUTE(SUBSTITUTE(K44,".",""),"-",REPT(" ",50)),50)),FIND(",",TRIM(RIGHT(SUBSTITUTE(SUBSTITUTE(K44,".",""),"-",REPT(" ",50)),50)))-1)*1,TRIM(RIGHT(SUBSTITUTE(SUBSTITUTE(K44,".",""),"-",REPT(" ",50)),50))*1)+IFERROR(MID(TRIM(RIGHT(SUBSTITUTE(SUBSTITUTE(K44,".",""),"-",REPT(" ",50)),50)),FIND(",",TRIM(RIGHT(SUBSTITUTE(SUBSTITUTE(K44,".",""),"-",REPT(" ",50)),50)))+1,9)/10^LEN(MID(TRIM(RIGHT(SUBSTITUTE(SUBSTITUTE(K44,".",""),"-",REPT(" ",50)),50)),FIND(",",TRIM(RIGHT(SUBSTITUTE(SUBSTITUTE(K44,".",""),"-",REPT(" ",50)),50)))+1,9)),0),"")))</f>
        <v/>
      </c>
      <c r="G81" s="48" t="str">
        <f aca="false">IF(K57="","",IF(ISNUMBER(K57),K57,IFERROR(IFERROR(LEFT(TRIM(RIGHT(SUBSTITUTE(SUBSTITUTE(K57,".",""),"-",REPT(" ",50)),50)),FIND(",",TRIM(RIGHT(SUBSTITUTE(SUBSTITUTE(K57,".",""),"-",REPT(" ",50)),50)))-1)*1,TRIM(RIGHT(SUBSTITUTE(SUBSTITUTE(K57,".",""),"-",REPT(" ",50)),50))*1)+IFERROR(MID(TRIM(RIGHT(SUBSTITUTE(SUBSTITUTE(K57,".",""),"-",REPT(" ",50)),50)),FIND(",",TRIM(RIGHT(SUBSTITUTE(SUBSTITUTE(K57,".",""),"-",REPT(" ",50)),50)))+1,9)/10^LEN(MID(TRIM(RIGHT(SUBSTITUTE(SUBSTITUTE(K57,".",""),"-",REPT(" ",50)),50)),FIND(",",TRIM(RIGHT(SUBSTITUTE(SUBSTITUTE(K57,".",""),"-",REPT(" ",50)),50)))+1,9)),0),"")))</f>
        <v/>
      </c>
      <c r="H81" s="48" t="str">
        <f aca="false">IF(K70="","",IF(ISNUMBER(K70),K70,IFERROR(IFERROR(LEFT(TRIM(RIGHT(SUBSTITUTE(SUBSTITUTE(K70,".",""),"-",REPT(" ",50)),50)),FIND(",",TRIM(RIGHT(SUBSTITUTE(SUBSTITUTE(K70,".",""),"-",REPT(" ",50)),50)))-1)*1,TRIM(RIGHT(SUBSTITUTE(SUBSTITUTE(K70,".",""),"-",REPT(" ",50)),50))*1)+IFERROR(MID(TRIM(RIGHT(SUBSTITUTE(SUBSTITUTE(K70,".",""),"-",REPT(" ",50)),50)),FIND(",",TRIM(RIGHT(SUBSTITUTE(SUBSTITUTE(K70,".",""),"-",REPT(" ",50)),50)))+1,9)/10^LEN(MID(TRIM(RIGHT(SUBSTITUTE(SUBSTITUTE(K70,".",""),"-",REPT(" ",50)),50)),FIND(",",TRIM(RIGHT(SUBSTITUTE(SUBSTITUTE(K70,".",""),"-",REPT(" ",50)),50)))+1,9)),0),"")))</f>
        <v/>
      </c>
      <c r="I81" s="49" t="str">
        <f aca="false">IF(OR(E81="",G81=""),"",G81-E81)</f>
        <v/>
      </c>
      <c r="J81" s="50" t="str">
        <f aca="false">IF(OR(E81="",G81="",E81=0),"",(G81-E81)/E81)</f>
        <v/>
      </c>
      <c r="K81" s="18" t="str">
        <f aca="false">IF(I81="","",IF(I81&gt;0,"▲ Progresa",IF(I81=0,"■ Estable","▼ Revisar")))</f>
        <v/>
      </c>
      <c r="L81" s="18"/>
      <c r="M81" s="18"/>
    </row>
    <row r="82" customFormat="false" ht="18" hidden="false" customHeight="true" outlineLevel="0" collapsed="false">
      <c r="B82" s="12" t="n">
        <v>5</v>
      </c>
      <c r="C82" s="44" t="str">
        <f aca="false">IF(D14="","",D14)</f>
        <v/>
      </c>
      <c r="D82" s="44"/>
      <c r="E82" s="45" t="str">
        <f aca="false">IF(K32="","",IF(ISNUMBER(K32),K32,IFERROR(IFERROR(LEFT(TRIM(RIGHT(SUBSTITUTE(SUBSTITUTE(K32,".",""),"-",REPT(" ",50)),50)),FIND(",",TRIM(RIGHT(SUBSTITUTE(SUBSTITUTE(K32,".",""),"-",REPT(" ",50)),50)))-1)*1,TRIM(RIGHT(SUBSTITUTE(SUBSTITUTE(K32,".",""),"-",REPT(" ",50)),50))*1)+IFERROR(MID(TRIM(RIGHT(SUBSTITUTE(SUBSTITUTE(K32,".",""),"-",REPT(" ",50)),50)),FIND(",",TRIM(RIGHT(SUBSTITUTE(SUBSTITUTE(K32,".",""),"-",REPT(" ",50)),50)))+1,9)/10^LEN(MID(TRIM(RIGHT(SUBSTITUTE(SUBSTITUTE(K32,".",""),"-",REPT(" ",50)),50)),FIND(",",TRIM(RIGHT(SUBSTITUTE(SUBSTITUTE(K32,".",""),"-",REPT(" ",50)),50)))+1,9)),0),"")))</f>
        <v/>
      </c>
      <c r="F82" s="45" t="str">
        <f aca="false">IF(K45="","",IF(ISNUMBER(K45),K45,IFERROR(IFERROR(LEFT(TRIM(RIGHT(SUBSTITUTE(SUBSTITUTE(K45,".",""),"-",REPT(" ",50)),50)),FIND(",",TRIM(RIGHT(SUBSTITUTE(SUBSTITUTE(K45,".",""),"-",REPT(" ",50)),50)))-1)*1,TRIM(RIGHT(SUBSTITUTE(SUBSTITUTE(K45,".",""),"-",REPT(" ",50)),50))*1)+IFERROR(MID(TRIM(RIGHT(SUBSTITUTE(SUBSTITUTE(K45,".",""),"-",REPT(" ",50)),50)),FIND(",",TRIM(RIGHT(SUBSTITUTE(SUBSTITUTE(K45,".",""),"-",REPT(" ",50)),50)))+1,9)/10^LEN(MID(TRIM(RIGHT(SUBSTITUTE(SUBSTITUTE(K45,".",""),"-",REPT(" ",50)),50)),FIND(",",TRIM(RIGHT(SUBSTITUTE(SUBSTITUTE(K45,".",""),"-",REPT(" ",50)),50)))+1,9)),0),"")))</f>
        <v/>
      </c>
      <c r="G82" s="45" t="str">
        <f aca="false">IF(K58="","",IF(ISNUMBER(K58),K58,IFERROR(IFERROR(LEFT(TRIM(RIGHT(SUBSTITUTE(SUBSTITUTE(K58,".",""),"-",REPT(" ",50)),50)),FIND(",",TRIM(RIGHT(SUBSTITUTE(SUBSTITUTE(K58,".",""),"-",REPT(" ",50)),50)))-1)*1,TRIM(RIGHT(SUBSTITUTE(SUBSTITUTE(K58,".",""),"-",REPT(" ",50)),50))*1)+IFERROR(MID(TRIM(RIGHT(SUBSTITUTE(SUBSTITUTE(K58,".",""),"-",REPT(" ",50)),50)),FIND(",",TRIM(RIGHT(SUBSTITUTE(SUBSTITUTE(K58,".",""),"-",REPT(" ",50)),50)))+1,9)/10^LEN(MID(TRIM(RIGHT(SUBSTITUTE(SUBSTITUTE(K58,".",""),"-",REPT(" ",50)),50)),FIND(",",TRIM(RIGHT(SUBSTITUTE(SUBSTITUTE(K58,".",""),"-",REPT(" ",50)),50)))+1,9)),0),"")))</f>
        <v/>
      </c>
      <c r="H82" s="45" t="str">
        <f aca="false">IF(K71="","",IF(ISNUMBER(K71),K71,IFERROR(IFERROR(LEFT(TRIM(RIGHT(SUBSTITUTE(SUBSTITUTE(K71,".",""),"-",REPT(" ",50)),50)),FIND(",",TRIM(RIGHT(SUBSTITUTE(SUBSTITUTE(K71,".",""),"-",REPT(" ",50)),50)))-1)*1,TRIM(RIGHT(SUBSTITUTE(SUBSTITUTE(K71,".",""),"-",REPT(" ",50)),50))*1)+IFERROR(MID(TRIM(RIGHT(SUBSTITUTE(SUBSTITUTE(K71,".",""),"-",REPT(" ",50)),50)),FIND(",",TRIM(RIGHT(SUBSTITUTE(SUBSTITUTE(K71,".",""),"-",REPT(" ",50)),50)))+1,9)/10^LEN(MID(TRIM(RIGHT(SUBSTITUTE(SUBSTITUTE(K71,".",""),"-",REPT(" ",50)),50)),FIND(",",TRIM(RIGHT(SUBSTITUTE(SUBSTITUTE(K71,".",""),"-",REPT(" ",50)),50)))+1,9)),0),"")))</f>
        <v/>
      </c>
      <c r="I82" s="46" t="str">
        <f aca="false">IF(OR(E82="",G82=""),"",G82-E82)</f>
        <v/>
      </c>
      <c r="J82" s="47" t="str">
        <f aca="false">IF(OR(E82="",G82="",E82=0),"",(G82-E82)/E82)</f>
        <v/>
      </c>
      <c r="K82" s="13" t="str">
        <f aca="false">IF(I82="","",IF(I82&gt;0,"▲ Progresa",IF(I82=0,"■ Estable","▼ Revisar")))</f>
        <v/>
      </c>
      <c r="L82" s="13"/>
      <c r="M82" s="13"/>
    </row>
    <row r="83" customFormat="false" ht="18" hidden="false" customHeight="true" outlineLevel="0" collapsed="false">
      <c r="B83" s="17" t="n">
        <v>6</v>
      </c>
      <c r="C83" s="39" t="str">
        <f aca="false">IF(D15="","",D15)</f>
        <v/>
      </c>
      <c r="D83" s="39"/>
      <c r="E83" s="48" t="str">
        <f aca="false">IF(K33="","",IF(ISNUMBER(K33),K33,IFERROR(IFERROR(LEFT(TRIM(RIGHT(SUBSTITUTE(SUBSTITUTE(K33,".",""),"-",REPT(" ",50)),50)),FIND(",",TRIM(RIGHT(SUBSTITUTE(SUBSTITUTE(K33,".",""),"-",REPT(" ",50)),50)))-1)*1,TRIM(RIGHT(SUBSTITUTE(SUBSTITUTE(K33,".",""),"-",REPT(" ",50)),50))*1)+IFERROR(MID(TRIM(RIGHT(SUBSTITUTE(SUBSTITUTE(K33,".",""),"-",REPT(" ",50)),50)),FIND(",",TRIM(RIGHT(SUBSTITUTE(SUBSTITUTE(K33,".",""),"-",REPT(" ",50)),50)))+1,9)/10^LEN(MID(TRIM(RIGHT(SUBSTITUTE(SUBSTITUTE(K33,".",""),"-",REPT(" ",50)),50)),FIND(",",TRIM(RIGHT(SUBSTITUTE(SUBSTITUTE(K33,".",""),"-",REPT(" ",50)),50)))+1,9)),0),"")))</f>
        <v/>
      </c>
      <c r="F83" s="48" t="str">
        <f aca="false">IF(K46="","",IF(ISNUMBER(K46),K46,IFERROR(IFERROR(LEFT(TRIM(RIGHT(SUBSTITUTE(SUBSTITUTE(K46,".",""),"-",REPT(" ",50)),50)),FIND(",",TRIM(RIGHT(SUBSTITUTE(SUBSTITUTE(K46,".",""),"-",REPT(" ",50)),50)))-1)*1,TRIM(RIGHT(SUBSTITUTE(SUBSTITUTE(K46,".",""),"-",REPT(" ",50)),50))*1)+IFERROR(MID(TRIM(RIGHT(SUBSTITUTE(SUBSTITUTE(K46,".",""),"-",REPT(" ",50)),50)),FIND(",",TRIM(RIGHT(SUBSTITUTE(SUBSTITUTE(K46,".",""),"-",REPT(" ",50)),50)))+1,9)/10^LEN(MID(TRIM(RIGHT(SUBSTITUTE(SUBSTITUTE(K46,".",""),"-",REPT(" ",50)),50)),FIND(",",TRIM(RIGHT(SUBSTITUTE(SUBSTITUTE(K46,".",""),"-",REPT(" ",50)),50)))+1,9)),0),"")))</f>
        <v/>
      </c>
      <c r="G83" s="48" t="str">
        <f aca="false">IF(K59="","",IF(ISNUMBER(K59),K59,IFERROR(IFERROR(LEFT(TRIM(RIGHT(SUBSTITUTE(SUBSTITUTE(K59,".",""),"-",REPT(" ",50)),50)),FIND(",",TRIM(RIGHT(SUBSTITUTE(SUBSTITUTE(K59,".",""),"-",REPT(" ",50)),50)))-1)*1,TRIM(RIGHT(SUBSTITUTE(SUBSTITUTE(K59,".",""),"-",REPT(" ",50)),50))*1)+IFERROR(MID(TRIM(RIGHT(SUBSTITUTE(SUBSTITUTE(K59,".",""),"-",REPT(" ",50)),50)),FIND(",",TRIM(RIGHT(SUBSTITUTE(SUBSTITUTE(K59,".",""),"-",REPT(" ",50)),50)))+1,9)/10^LEN(MID(TRIM(RIGHT(SUBSTITUTE(SUBSTITUTE(K59,".",""),"-",REPT(" ",50)),50)),FIND(",",TRIM(RIGHT(SUBSTITUTE(SUBSTITUTE(K59,".",""),"-",REPT(" ",50)),50)))+1,9)),0),"")))</f>
        <v/>
      </c>
      <c r="H83" s="48" t="str">
        <f aca="false">IF(K72="","",IF(ISNUMBER(K72),K72,IFERROR(IFERROR(LEFT(TRIM(RIGHT(SUBSTITUTE(SUBSTITUTE(K72,".",""),"-",REPT(" ",50)),50)),FIND(",",TRIM(RIGHT(SUBSTITUTE(SUBSTITUTE(K72,".",""),"-",REPT(" ",50)),50)))-1)*1,TRIM(RIGHT(SUBSTITUTE(SUBSTITUTE(K72,".",""),"-",REPT(" ",50)),50))*1)+IFERROR(MID(TRIM(RIGHT(SUBSTITUTE(SUBSTITUTE(K72,".",""),"-",REPT(" ",50)),50)),FIND(",",TRIM(RIGHT(SUBSTITUTE(SUBSTITUTE(K72,".",""),"-",REPT(" ",50)),50)))+1,9)/10^LEN(MID(TRIM(RIGHT(SUBSTITUTE(SUBSTITUTE(K72,".",""),"-",REPT(" ",50)),50)),FIND(",",TRIM(RIGHT(SUBSTITUTE(SUBSTITUTE(K72,".",""),"-",REPT(" ",50)),50)))+1,9)),0),"")))</f>
        <v/>
      </c>
      <c r="I83" s="49" t="str">
        <f aca="false">IF(OR(E83="",G83=""),"",G83-E83)</f>
        <v/>
      </c>
      <c r="J83" s="50" t="str">
        <f aca="false">IF(OR(E83="",G83="",E83=0),"",(G83-E83)/E83)</f>
        <v/>
      </c>
      <c r="K83" s="18" t="str">
        <f aca="false">IF(I83="","",IF(I83&gt;0,"▲ Progresa",IF(I83=0,"■ Estable","▼ Revisar")))</f>
        <v/>
      </c>
      <c r="L83" s="18"/>
      <c r="M83" s="18"/>
    </row>
    <row r="84" customFormat="false" ht="18" hidden="false" customHeight="true" outlineLevel="0" collapsed="false">
      <c r="B84" s="12" t="n">
        <v>7</v>
      </c>
      <c r="C84" s="44" t="str">
        <f aca="false">IF(D16="","",D16)</f>
        <v/>
      </c>
      <c r="D84" s="44"/>
      <c r="E84" s="45" t="str">
        <f aca="false">IF(K34="","",IF(ISNUMBER(K34),K34,IFERROR(IFERROR(LEFT(TRIM(RIGHT(SUBSTITUTE(SUBSTITUTE(K34,".",""),"-",REPT(" ",50)),50)),FIND(",",TRIM(RIGHT(SUBSTITUTE(SUBSTITUTE(K34,".",""),"-",REPT(" ",50)),50)))-1)*1,TRIM(RIGHT(SUBSTITUTE(SUBSTITUTE(K34,".",""),"-",REPT(" ",50)),50))*1)+IFERROR(MID(TRIM(RIGHT(SUBSTITUTE(SUBSTITUTE(K34,".",""),"-",REPT(" ",50)),50)),FIND(",",TRIM(RIGHT(SUBSTITUTE(SUBSTITUTE(K34,".",""),"-",REPT(" ",50)),50)))+1,9)/10^LEN(MID(TRIM(RIGHT(SUBSTITUTE(SUBSTITUTE(K34,".",""),"-",REPT(" ",50)),50)),FIND(",",TRIM(RIGHT(SUBSTITUTE(SUBSTITUTE(K34,".",""),"-",REPT(" ",50)),50)))+1,9)),0),"")))</f>
        <v/>
      </c>
      <c r="F84" s="45" t="str">
        <f aca="false">IF(K47="","",IF(ISNUMBER(K47),K47,IFERROR(IFERROR(LEFT(TRIM(RIGHT(SUBSTITUTE(SUBSTITUTE(K47,".",""),"-",REPT(" ",50)),50)),FIND(",",TRIM(RIGHT(SUBSTITUTE(SUBSTITUTE(K47,".",""),"-",REPT(" ",50)),50)))-1)*1,TRIM(RIGHT(SUBSTITUTE(SUBSTITUTE(K47,".",""),"-",REPT(" ",50)),50))*1)+IFERROR(MID(TRIM(RIGHT(SUBSTITUTE(SUBSTITUTE(K47,".",""),"-",REPT(" ",50)),50)),FIND(",",TRIM(RIGHT(SUBSTITUTE(SUBSTITUTE(K47,".",""),"-",REPT(" ",50)),50)))+1,9)/10^LEN(MID(TRIM(RIGHT(SUBSTITUTE(SUBSTITUTE(K47,".",""),"-",REPT(" ",50)),50)),FIND(",",TRIM(RIGHT(SUBSTITUTE(SUBSTITUTE(K47,".",""),"-",REPT(" ",50)),50)))+1,9)),0),"")))</f>
        <v/>
      </c>
      <c r="G84" s="45" t="str">
        <f aca="false">IF(K60="","",IF(ISNUMBER(K60),K60,IFERROR(IFERROR(LEFT(TRIM(RIGHT(SUBSTITUTE(SUBSTITUTE(K60,".",""),"-",REPT(" ",50)),50)),FIND(",",TRIM(RIGHT(SUBSTITUTE(SUBSTITUTE(K60,".",""),"-",REPT(" ",50)),50)))-1)*1,TRIM(RIGHT(SUBSTITUTE(SUBSTITUTE(K60,".",""),"-",REPT(" ",50)),50))*1)+IFERROR(MID(TRIM(RIGHT(SUBSTITUTE(SUBSTITUTE(K60,".",""),"-",REPT(" ",50)),50)),FIND(",",TRIM(RIGHT(SUBSTITUTE(SUBSTITUTE(K60,".",""),"-",REPT(" ",50)),50)))+1,9)/10^LEN(MID(TRIM(RIGHT(SUBSTITUTE(SUBSTITUTE(K60,".",""),"-",REPT(" ",50)),50)),FIND(",",TRIM(RIGHT(SUBSTITUTE(SUBSTITUTE(K60,".",""),"-",REPT(" ",50)),50)))+1,9)),0),"")))</f>
        <v/>
      </c>
      <c r="H84" s="45" t="str">
        <f aca="false">IF(K73="","",IF(ISNUMBER(K73),K73,IFERROR(IFERROR(LEFT(TRIM(RIGHT(SUBSTITUTE(SUBSTITUTE(K73,".",""),"-",REPT(" ",50)),50)),FIND(",",TRIM(RIGHT(SUBSTITUTE(SUBSTITUTE(K73,".",""),"-",REPT(" ",50)),50)))-1)*1,TRIM(RIGHT(SUBSTITUTE(SUBSTITUTE(K73,".",""),"-",REPT(" ",50)),50))*1)+IFERROR(MID(TRIM(RIGHT(SUBSTITUTE(SUBSTITUTE(K73,".",""),"-",REPT(" ",50)),50)),FIND(",",TRIM(RIGHT(SUBSTITUTE(SUBSTITUTE(K73,".",""),"-",REPT(" ",50)),50)))+1,9)/10^LEN(MID(TRIM(RIGHT(SUBSTITUTE(SUBSTITUTE(K73,".",""),"-",REPT(" ",50)),50)),FIND(",",TRIM(RIGHT(SUBSTITUTE(SUBSTITUTE(K73,".",""),"-",REPT(" ",50)),50)))+1,9)),0),"")))</f>
        <v/>
      </c>
      <c r="I84" s="46" t="str">
        <f aca="false">IF(OR(E84="",G84=""),"",G84-E84)</f>
        <v/>
      </c>
      <c r="J84" s="47" t="str">
        <f aca="false">IF(OR(E84="",G84="",E84=0),"",(G84-E84)/E84)</f>
        <v/>
      </c>
      <c r="K84" s="13" t="str">
        <f aca="false">IF(I84="","",IF(I84&gt;0,"▲ Progresa",IF(I84=0,"■ Estable","▼ Revisar")))</f>
        <v/>
      </c>
      <c r="L84" s="13"/>
      <c r="M84" s="13"/>
    </row>
    <row r="85" customFormat="false" ht="18" hidden="false" customHeight="true" outlineLevel="0" collapsed="false">
      <c r="B85" s="17" t="n">
        <v>8</v>
      </c>
      <c r="C85" s="39" t="str">
        <f aca="false">IF(D17="","",D17)</f>
        <v/>
      </c>
      <c r="D85" s="39"/>
      <c r="E85" s="48" t="str">
        <f aca="false">IF(K35="","",IF(ISNUMBER(K35),K35,IFERROR(IFERROR(LEFT(TRIM(RIGHT(SUBSTITUTE(SUBSTITUTE(K35,".",""),"-",REPT(" ",50)),50)),FIND(",",TRIM(RIGHT(SUBSTITUTE(SUBSTITUTE(K35,".",""),"-",REPT(" ",50)),50)))-1)*1,TRIM(RIGHT(SUBSTITUTE(SUBSTITUTE(K35,".",""),"-",REPT(" ",50)),50))*1)+IFERROR(MID(TRIM(RIGHT(SUBSTITUTE(SUBSTITUTE(K35,".",""),"-",REPT(" ",50)),50)),FIND(",",TRIM(RIGHT(SUBSTITUTE(SUBSTITUTE(K35,".",""),"-",REPT(" ",50)),50)))+1,9)/10^LEN(MID(TRIM(RIGHT(SUBSTITUTE(SUBSTITUTE(K35,".",""),"-",REPT(" ",50)),50)),FIND(",",TRIM(RIGHT(SUBSTITUTE(SUBSTITUTE(K35,".",""),"-",REPT(" ",50)),50)))+1,9)),0),"")))</f>
        <v/>
      </c>
      <c r="F85" s="48" t="str">
        <f aca="false">IF(K48="","",IF(ISNUMBER(K48),K48,IFERROR(IFERROR(LEFT(TRIM(RIGHT(SUBSTITUTE(SUBSTITUTE(K48,".",""),"-",REPT(" ",50)),50)),FIND(",",TRIM(RIGHT(SUBSTITUTE(SUBSTITUTE(K48,".",""),"-",REPT(" ",50)),50)))-1)*1,TRIM(RIGHT(SUBSTITUTE(SUBSTITUTE(K48,".",""),"-",REPT(" ",50)),50))*1)+IFERROR(MID(TRIM(RIGHT(SUBSTITUTE(SUBSTITUTE(K48,".",""),"-",REPT(" ",50)),50)),FIND(",",TRIM(RIGHT(SUBSTITUTE(SUBSTITUTE(K48,".",""),"-",REPT(" ",50)),50)))+1,9)/10^LEN(MID(TRIM(RIGHT(SUBSTITUTE(SUBSTITUTE(K48,".",""),"-",REPT(" ",50)),50)),FIND(",",TRIM(RIGHT(SUBSTITUTE(SUBSTITUTE(K48,".",""),"-",REPT(" ",50)),50)))+1,9)),0),"")))</f>
        <v/>
      </c>
      <c r="G85" s="48" t="str">
        <f aca="false">IF(K61="","",IF(ISNUMBER(K61),K61,IFERROR(IFERROR(LEFT(TRIM(RIGHT(SUBSTITUTE(SUBSTITUTE(K61,".",""),"-",REPT(" ",50)),50)),FIND(",",TRIM(RIGHT(SUBSTITUTE(SUBSTITUTE(K61,".",""),"-",REPT(" ",50)),50)))-1)*1,TRIM(RIGHT(SUBSTITUTE(SUBSTITUTE(K61,".",""),"-",REPT(" ",50)),50))*1)+IFERROR(MID(TRIM(RIGHT(SUBSTITUTE(SUBSTITUTE(K61,".",""),"-",REPT(" ",50)),50)),FIND(",",TRIM(RIGHT(SUBSTITUTE(SUBSTITUTE(K61,".",""),"-",REPT(" ",50)),50)))+1,9)/10^LEN(MID(TRIM(RIGHT(SUBSTITUTE(SUBSTITUTE(K61,".",""),"-",REPT(" ",50)),50)),FIND(",",TRIM(RIGHT(SUBSTITUTE(SUBSTITUTE(K61,".",""),"-",REPT(" ",50)),50)))+1,9)),0),"")))</f>
        <v/>
      </c>
      <c r="H85" s="48" t="str">
        <f aca="false">IF(K74="","",IF(ISNUMBER(K74),K74,IFERROR(IFERROR(LEFT(TRIM(RIGHT(SUBSTITUTE(SUBSTITUTE(K74,".",""),"-",REPT(" ",50)),50)),FIND(",",TRIM(RIGHT(SUBSTITUTE(SUBSTITUTE(K74,".",""),"-",REPT(" ",50)),50)))-1)*1,TRIM(RIGHT(SUBSTITUTE(SUBSTITUTE(K74,".",""),"-",REPT(" ",50)),50))*1)+IFERROR(MID(TRIM(RIGHT(SUBSTITUTE(SUBSTITUTE(K74,".",""),"-",REPT(" ",50)),50)),FIND(",",TRIM(RIGHT(SUBSTITUTE(SUBSTITUTE(K74,".",""),"-",REPT(" ",50)),50)))+1,9)/10^LEN(MID(TRIM(RIGHT(SUBSTITUTE(SUBSTITUTE(K74,".",""),"-",REPT(" ",50)),50)),FIND(",",TRIM(RIGHT(SUBSTITUTE(SUBSTITUTE(K74,".",""),"-",REPT(" ",50)),50)))+1,9)),0),"")))</f>
        <v/>
      </c>
      <c r="I85" s="49" t="str">
        <f aca="false">IF(OR(E85="",G85=""),"",G85-E85)</f>
        <v/>
      </c>
      <c r="J85" s="50" t="str">
        <f aca="false">IF(OR(E85="",G85="",E85=0),"",(G85-E85)/E85)</f>
        <v/>
      </c>
      <c r="K85" s="18" t="str">
        <f aca="false">IF(I85="","",IF(I85&gt;0,"▲ Progresa",IF(I85=0,"■ Estable","▼ Revisar")))</f>
        <v/>
      </c>
      <c r="L85" s="18"/>
      <c r="M85" s="18"/>
    </row>
    <row r="86" customFormat="false" ht="15" hidden="false" customHeight="true" outlineLevel="0" collapsed="false">
      <c r="B86" s="51" t="s">
        <v>95</v>
      </c>
    </row>
    <row r="88" customFormat="false" ht="19.5" hidden="false" customHeight="true" outlineLevel="0" collapsed="false">
      <c r="B88" s="52" t="s">
        <v>96</v>
      </c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</row>
    <row r="89" customFormat="false" ht="18" hidden="false" customHeight="true" outlineLevel="0" collapsed="false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</row>
    <row r="90" customFormat="false" ht="18" hidden="false" customHeight="true" outlineLevel="0" collapsed="false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</row>
    <row r="91" customFormat="false" ht="18" hidden="false" customHeight="true" outlineLevel="0" collapsed="false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</row>
    <row r="93" customFormat="false" ht="19.5" hidden="false" customHeight="true" outlineLevel="0" collapsed="false">
      <c r="B93" s="53" t="s">
        <v>97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customFormat="false" ht="18" hidden="false" customHeight="true" outlineLevel="0" collapsed="false"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</row>
    <row r="95" customFormat="false" ht="18" hidden="false" customHeight="true" outlineLevel="0" collapsed="false"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</row>
    <row r="96" customFormat="false" ht="18" hidden="false" customHeight="true" outlineLevel="0" collapsed="false"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</row>
    <row r="98" customFormat="false" ht="19.5" hidden="false" customHeight="true" outlineLevel="0" collapsed="false">
      <c r="B98" s="4" t="s">
        <v>98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customFormat="false" ht="18" hidden="false" customHeight="true" outlineLevel="0" collapsed="false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</row>
    <row r="100" customFormat="false" ht="18" hidden="false" customHeight="true" outlineLevel="0" collapsed="false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 customFormat="false" ht="18" hidden="false" customHeight="true" outlineLevel="0" collapsed="false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</row>
  </sheetData>
  <mergeCells count="111">
    <mergeCell ref="B2:M2"/>
    <mergeCell ref="B3:M3"/>
    <mergeCell ref="C5:D5"/>
    <mergeCell ref="F5:I5"/>
    <mergeCell ref="K5:M5"/>
    <mergeCell ref="B6:M6"/>
    <mergeCell ref="B8:M8"/>
    <mergeCell ref="H9:L9"/>
    <mergeCell ref="H10:L10"/>
    <mergeCell ref="H11:L11"/>
    <mergeCell ref="H12:L12"/>
    <mergeCell ref="H13:L13"/>
    <mergeCell ref="H14:L14"/>
    <mergeCell ref="H15:L15"/>
    <mergeCell ref="H16:L16"/>
    <mergeCell ref="H17:L17"/>
    <mergeCell ref="B19:M19"/>
    <mergeCell ref="B20:M20"/>
    <mergeCell ref="B21:M21"/>
    <mergeCell ref="B22:M22"/>
    <mergeCell ref="B24:M24"/>
    <mergeCell ref="B25:C25"/>
    <mergeCell ref="E25:F25"/>
    <mergeCell ref="H25:J25"/>
    <mergeCell ref="E26:H26"/>
    <mergeCell ref="I26:L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B37:M37"/>
    <mergeCell ref="B38:C38"/>
    <mergeCell ref="E38:F38"/>
    <mergeCell ref="H38:J38"/>
    <mergeCell ref="E39:H39"/>
    <mergeCell ref="I39:L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B50:M50"/>
    <mergeCell ref="B51:C51"/>
    <mergeCell ref="E51:F51"/>
    <mergeCell ref="H51:J51"/>
    <mergeCell ref="E52:H52"/>
    <mergeCell ref="I52:L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B63:M63"/>
    <mergeCell ref="B64:C64"/>
    <mergeCell ref="E64:F64"/>
    <mergeCell ref="H64:J64"/>
    <mergeCell ref="E65:H65"/>
    <mergeCell ref="I65:L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B76:M76"/>
    <mergeCell ref="C77:D77"/>
    <mergeCell ref="K77:M77"/>
    <mergeCell ref="C78:D78"/>
    <mergeCell ref="K78:M78"/>
    <mergeCell ref="C79:D79"/>
    <mergeCell ref="K79:M79"/>
    <mergeCell ref="C80:D80"/>
    <mergeCell ref="K80:M80"/>
    <mergeCell ref="C81:D81"/>
    <mergeCell ref="K81:M81"/>
    <mergeCell ref="C82:D82"/>
    <mergeCell ref="K82:M82"/>
    <mergeCell ref="C83:D83"/>
    <mergeCell ref="K83:M83"/>
    <mergeCell ref="C84:D84"/>
    <mergeCell ref="K84:M84"/>
    <mergeCell ref="C85:D85"/>
    <mergeCell ref="K85:M85"/>
    <mergeCell ref="B88:M88"/>
    <mergeCell ref="B89:M89"/>
    <mergeCell ref="B90:M90"/>
    <mergeCell ref="B91:M91"/>
    <mergeCell ref="B93:M93"/>
    <mergeCell ref="B94:M94"/>
    <mergeCell ref="B95:M95"/>
    <mergeCell ref="B96:M96"/>
    <mergeCell ref="B98:M98"/>
    <mergeCell ref="B99:M99"/>
    <mergeCell ref="B100:M100"/>
    <mergeCell ref="B101:M101"/>
  </mergeCells>
  <conditionalFormatting sqref="K78:K85">
    <cfRule type="expression" priority="2" aboveAverage="0" equalAverage="0" bottom="0" percent="0" rank="0" text="" dxfId="0">
      <formula>LEFT(K78,1)="▲"</formula>
    </cfRule>
    <cfRule type="expression" priority="3" aboveAverage="0" equalAverage="0" bottom="0" percent="0" rank="0" text="" dxfId="1">
      <formula>LEFT(K78,1)="▼"</formula>
    </cfRule>
  </conditionalFormatting>
  <dataValidations count="2">
    <dataValidation allowBlank="true" errorStyle="stop" operator="between" showDropDown="false" showErrorMessage="false" showInputMessage="false" sqref="D10:D17" type="list">
      <formula1>Biblioteca!$C$6:$C$150</formula1>
      <formula2>0</formula2>
    </dataValidation>
    <dataValidation allowBlank="true" errorStyle="stop" operator="between" showDropDown="false" showErrorMessage="false" showInputMessage="false" sqref="E10:E17" type="list">
      <formula1>"Pecho,Espalda,Hombro,Bíceps,Tríceps,Cuádriceps,Isquios,Glúteo,Gemelo,Core,Full body,Cardio"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Tactical Biscuit Training  ·  Página &amp;P de &amp;N</oddFooter>
  </headerFooter>
  <rowBreaks count="2" manualBreakCount="2">
    <brk id="36" man="true" max="16383" min="0"/>
    <brk id="62" man="true" max="16383" min="0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5"/>
    <col collapsed="false" customWidth="true" hidden="false" outlineLevel="0" max="3" min="3" style="1" width="14"/>
    <col collapsed="false" customWidth="true" hidden="false" outlineLevel="0" max="4" min="4" style="1" width="26"/>
    <col collapsed="false" customWidth="true" hidden="false" outlineLevel="0" max="5" min="5" style="1" width="11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12" min="8" style="1" width="10"/>
    <col collapsed="false" customWidth="true" hidden="false" outlineLevel="0" max="13" min="13" style="1" width="26"/>
  </cols>
  <sheetData>
    <row r="2" customFormat="false" ht="36" hidden="false" customHeight="true" outlineLevel="0" collapsed="false">
      <c r="B2" s="2" t="s">
        <v>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9.5" hidden="false" customHeight="true" outlineLevel="0" collapsed="false">
      <c r="B3" s="3" t="s">
        <v>61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21.75" hidden="false" customHeight="true" outlineLevel="0" collapsed="false">
      <c r="B5" s="26" t="s">
        <v>3</v>
      </c>
      <c r="C5" s="27" t="str">
        <f aca="false">IF(Resumen!C6="","",Resumen!C6)</f>
        <v/>
      </c>
      <c r="D5" s="27"/>
      <c r="E5" s="26" t="s">
        <v>62</v>
      </c>
      <c r="F5" s="27" t="str">
        <f aca="false">IF(Resumen!D23="","",Resumen!D23)</f>
        <v/>
      </c>
      <c r="G5" s="27"/>
      <c r="H5" s="27"/>
      <c r="I5" s="27"/>
      <c r="J5" s="26" t="s">
        <v>63</v>
      </c>
      <c r="K5" s="27" t="str">
        <f aca="false">IF(Resumen!C23="","",Resumen!C23)</f>
        <v/>
      </c>
      <c r="L5" s="27"/>
      <c r="M5" s="27"/>
    </row>
    <row r="6" customFormat="false" ht="15" hidden="false" customHeight="true" outlineLevel="0" collapsed="false">
      <c r="B6" s="28" t="s">
        <v>64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</row>
    <row r="8" customFormat="false" ht="19.5" hidden="false" customHeight="true" outlineLevel="0" collapsed="false">
      <c r="B8" s="4" t="s">
        <v>65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24" hidden="false" customHeight="true" outlineLevel="0" collapsed="false">
      <c r="B9" s="11" t="s">
        <v>66</v>
      </c>
      <c r="C9" s="11" t="s">
        <v>67</v>
      </c>
      <c r="D9" s="11" t="s">
        <v>68</v>
      </c>
      <c r="E9" s="11" t="s">
        <v>69</v>
      </c>
      <c r="F9" s="11" t="s">
        <v>70</v>
      </c>
      <c r="G9" s="11" t="s">
        <v>71</v>
      </c>
      <c r="H9" s="11" t="s">
        <v>72</v>
      </c>
      <c r="I9" s="11"/>
      <c r="J9" s="11"/>
      <c r="K9" s="11"/>
      <c r="L9" s="11"/>
      <c r="M9" s="11" t="s">
        <v>73</v>
      </c>
    </row>
    <row r="10" customFormat="false" ht="43.5" hidden="false" customHeight="true" outlineLevel="0" collapsed="false">
      <c r="B10" s="17" t="n">
        <v>1</v>
      </c>
      <c r="C10" s="29" t="s">
        <v>74</v>
      </c>
      <c r="D10" s="6"/>
      <c r="E10" s="14"/>
      <c r="F10" s="14"/>
      <c r="G10" s="14"/>
      <c r="H10" s="16"/>
      <c r="I10" s="16"/>
      <c r="J10" s="16"/>
      <c r="K10" s="16"/>
      <c r="L10" s="16"/>
      <c r="M10" s="30" t="str">
        <f aca="false">IF(D10="","",HYPERLINK(IF(IFERROR(INDEX(Biblioteca!$E$6:$E$150,MATCH(D10,Biblioteca!$C$6:$C$150,0))&amp;"","")&lt;&gt;"",IFERROR(INDEX(Biblioteca!$E$6:$E$150,MATCH(D10,Biblioteca!$C$6:$C$150,0))&amp;"",""),"https://www.youtube.com/results?search_query="&amp;SUBSTITUTE(TRIM(D10)," ","+")&amp;"+técnica"),IF(IFERROR(INDEX(Biblioteca!$E$6:$E$150,MATCH(D10,Biblioteca!$C$6:$C$150,0))&amp;"","")&lt;&gt;"","▶ Mi vídeo","▶ Ver vídeo")))</f>
        <v/>
      </c>
    </row>
    <row r="11" customFormat="false" ht="43.5" hidden="false" customHeight="true" outlineLevel="0" collapsed="false">
      <c r="B11" s="17" t="n">
        <v>2</v>
      </c>
      <c r="C11" s="29" t="s">
        <v>74</v>
      </c>
      <c r="D11" s="6"/>
      <c r="E11" s="14"/>
      <c r="F11" s="14"/>
      <c r="G11" s="14"/>
      <c r="H11" s="16"/>
      <c r="I11" s="16"/>
      <c r="J11" s="16"/>
      <c r="K11" s="16"/>
      <c r="L11" s="16"/>
      <c r="M11" s="30" t="str">
        <f aca="false">IF(D11="","",HYPERLINK(IF(IFERROR(INDEX(Biblioteca!$E$6:$E$150,MATCH(D11,Biblioteca!$C$6:$C$150,0))&amp;"","")&lt;&gt;"",IFERROR(INDEX(Biblioteca!$E$6:$E$150,MATCH(D11,Biblioteca!$C$6:$C$150,0))&amp;"",""),"https://www.youtube.com/results?search_query="&amp;SUBSTITUTE(TRIM(D11)," ","+")&amp;"+técnica"),IF(IFERROR(INDEX(Biblioteca!$E$6:$E$150,MATCH(D11,Biblioteca!$C$6:$C$150,0))&amp;"","")&lt;&gt;"","▶ Mi vídeo","▶ Ver vídeo")))</f>
        <v/>
      </c>
    </row>
    <row r="12" customFormat="false" ht="43.5" hidden="false" customHeight="true" outlineLevel="0" collapsed="false">
      <c r="B12" s="17" t="n">
        <v>3</v>
      </c>
      <c r="C12" s="29" t="s">
        <v>74</v>
      </c>
      <c r="D12" s="6"/>
      <c r="E12" s="14"/>
      <c r="F12" s="14"/>
      <c r="G12" s="14"/>
      <c r="H12" s="16"/>
      <c r="I12" s="16"/>
      <c r="J12" s="16"/>
      <c r="K12" s="16"/>
      <c r="L12" s="16"/>
      <c r="M12" s="30" t="str">
        <f aca="false">IF(D12="","",HYPERLINK(IF(IFERROR(INDEX(Biblioteca!$E$6:$E$150,MATCH(D12,Biblioteca!$C$6:$C$150,0))&amp;"","")&lt;&gt;"",IFERROR(INDEX(Biblioteca!$E$6:$E$150,MATCH(D12,Biblioteca!$C$6:$C$150,0))&amp;"",""),"https://www.youtube.com/results?search_query="&amp;SUBSTITUTE(TRIM(D12)," ","+")&amp;"+técnica"),IF(IFERROR(INDEX(Biblioteca!$E$6:$E$150,MATCH(D12,Biblioteca!$C$6:$C$150,0))&amp;"","")&lt;&gt;"","▶ Mi vídeo","▶ Ver vídeo")))</f>
        <v/>
      </c>
    </row>
    <row r="13" customFormat="false" ht="43.5" hidden="false" customHeight="true" outlineLevel="0" collapsed="false">
      <c r="B13" s="17" t="n">
        <v>4</v>
      </c>
      <c r="C13" s="29" t="s">
        <v>74</v>
      </c>
      <c r="D13" s="6"/>
      <c r="E13" s="14"/>
      <c r="F13" s="14"/>
      <c r="G13" s="14"/>
      <c r="H13" s="16"/>
      <c r="I13" s="16"/>
      <c r="J13" s="16"/>
      <c r="K13" s="16"/>
      <c r="L13" s="16"/>
      <c r="M13" s="30" t="str">
        <f aca="false">IF(D13="","",HYPERLINK(IF(IFERROR(INDEX(Biblioteca!$E$6:$E$150,MATCH(D13,Biblioteca!$C$6:$C$150,0))&amp;"","")&lt;&gt;"",IFERROR(INDEX(Biblioteca!$E$6:$E$150,MATCH(D13,Biblioteca!$C$6:$C$150,0))&amp;"",""),"https://www.youtube.com/results?search_query="&amp;SUBSTITUTE(TRIM(D13)," ","+")&amp;"+técnica"),IF(IFERROR(INDEX(Biblioteca!$E$6:$E$150,MATCH(D13,Biblioteca!$C$6:$C$150,0))&amp;"","")&lt;&gt;"","▶ Mi vídeo","▶ Ver vídeo")))</f>
        <v/>
      </c>
    </row>
    <row r="14" customFormat="false" ht="43.5" hidden="false" customHeight="true" outlineLevel="0" collapsed="false">
      <c r="B14" s="17" t="n">
        <v>5</v>
      </c>
      <c r="C14" s="29" t="s">
        <v>74</v>
      </c>
      <c r="D14" s="6"/>
      <c r="E14" s="14"/>
      <c r="F14" s="14"/>
      <c r="G14" s="14"/>
      <c r="H14" s="16"/>
      <c r="I14" s="16"/>
      <c r="J14" s="16"/>
      <c r="K14" s="16"/>
      <c r="L14" s="16"/>
      <c r="M14" s="30" t="str">
        <f aca="false">IF(D14="","",HYPERLINK(IF(IFERROR(INDEX(Biblioteca!$E$6:$E$150,MATCH(D14,Biblioteca!$C$6:$C$150,0))&amp;"","")&lt;&gt;"",IFERROR(INDEX(Biblioteca!$E$6:$E$150,MATCH(D14,Biblioteca!$C$6:$C$150,0))&amp;"",""),"https://www.youtube.com/results?search_query="&amp;SUBSTITUTE(TRIM(D14)," ","+")&amp;"+técnica"),IF(IFERROR(INDEX(Biblioteca!$E$6:$E$150,MATCH(D14,Biblioteca!$C$6:$C$150,0))&amp;"","")&lt;&gt;"","▶ Mi vídeo","▶ Ver vídeo")))</f>
        <v/>
      </c>
    </row>
    <row r="15" customFormat="false" ht="43.5" hidden="false" customHeight="true" outlineLevel="0" collapsed="false">
      <c r="B15" s="17" t="n">
        <v>6</v>
      </c>
      <c r="C15" s="29" t="s">
        <v>74</v>
      </c>
      <c r="D15" s="6"/>
      <c r="E15" s="14"/>
      <c r="F15" s="14"/>
      <c r="G15" s="14"/>
      <c r="H15" s="16"/>
      <c r="I15" s="16"/>
      <c r="J15" s="16"/>
      <c r="K15" s="16"/>
      <c r="L15" s="16"/>
      <c r="M15" s="30" t="str">
        <f aca="false">IF(D15="","",HYPERLINK(IF(IFERROR(INDEX(Biblioteca!$E$6:$E$150,MATCH(D15,Biblioteca!$C$6:$C$150,0))&amp;"","")&lt;&gt;"",IFERROR(INDEX(Biblioteca!$E$6:$E$150,MATCH(D15,Biblioteca!$C$6:$C$150,0))&amp;"",""),"https://www.youtube.com/results?search_query="&amp;SUBSTITUTE(TRIM(D15)," ","+")&amp;"+técnica"),IF(IFERROR(INDEX(Biblioteca!$E$6:$E$150,MATCH(D15,Biblioteca!$C$6:$C$150,0))&amp;"","")&lt;&gt;"","▶ Mi vídeo","▶ Ver vídeo")))</f>
        <v/>
      </c>
    </row>
    <row r="16" customFormat="false" ht="43.5" hidden="false" customHeight="true" outlineLevel="0" collapsed="false">
      <c r="B16" s="17" t="n">
        <v>7</v>
      </c>
      <c r="C16" s="29" t="s">
        <v>74</v>
      </c>
      <c r="D16" s="6"/>
      <c r="E16" s="14"/>
      <c r="F16" s="14"/>
      <c r="G16" s="14"/>
      <c r="H16" s="16"/>
      <c r="I16" s="16"/>
      <c r="J16" s="16"/>
      <c r="K16" s="16"/>
      <c r="L16" s="16"/>
      <c r="M16" s="30" t="str">
        <f aca="false">IF(D16="","",HYPERLINK(IF(IFERROR(INDEX(Biblioteca!$E$6:$E$150,MATCH(D16,Biblioteca!$C$6:$C$150,0))&amp;"","")&lt;&gt;"",IFERROR(INDEX(Biblioteca!$E$6:$E$150,MATCH(D16,Biblioteca!$C$6:$C$150,0))&amp;"",""),"https://www.youtube.com/results?search_query="&amp;SUBSTITUTE(TRIM(D16)," ","+")&amp;"+técnica"),IF(IFERROR(INDEX(Biblioteca!$E$6:$E$150,MATCH(D16,Biblioteca!$C$6:$C$150,0))&amp;"","")&lt;&gt;"","▶ Mi vídeo","▶ Ver vídeo")))</f>
        <v/>
      </c>
    </row>
    <row r="17" customFormat="false" ht="43.5" hidden="false" customHeight="true" outlineLevel="0" collapsed="false">
      <c r="B17" s="17" t="n">
        <v>8</v>
      </c>
      <c r="C17" s="29" t="s">
        <v>74</v>
      </c>
      <c r="D17" s="6"/>
      <c r="E17" s="14"/>
      <c r="F17" s="14"/>
      <c r="G17" s="14"/>
      <c r="H17" s="16"/>
      <c r="I17" s="16"/>
      <c r="J17" s="16"/>
      <c r="K17" s="16"/>
      <c r="L17" s="16"/>
      <c r="M17" s="30" t="str">
        <f aca="false">IF(D17="","",HYPERLINK(IF(IFERROR(INDEX(Biblioteca!$E$6:$E$150,MATCH(D17,Biblioteca!$C$6:$C$150,0))&amp;"","")&lt;&gt;"",IFERROR(INDEX(Biblioteca!$E$6:$E$150,MATCH(D17,Biblioteca!$C$6:$C$150,0))&amp;"",""),"https://www.youtube.com/results?search_query="&amp;SUBSTITUTE(TRIM(D17)," ","+")&amp;"+técnica"),IF(IFERROR(INDEX(Biblioteca!$E$6:$E$150,MATCH(D17,Biblioteca!$C$6:$C$150,0))&amp;"","")&lt;&gt;"","▶ Mi vídeo","▶ Ver vídeo")))</f>
        <v/>
      </c>
    </row>
    <row r="19" customFormat="false" ht="19.5" hidden="false" customHeight="true" outlineLevel="0" collapsed="false">
      <c r="B19" s="31" t="s">
        <v>75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customFormat="false" ht="18" hidden="false" customHeight="true" outlineLevel="0" collapsed="false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customFormat="false" ht="18" hidden="false" customHeight="true" outlineLevel="0" collapsed="false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customFormat="false" ht="18" hidden="false" customHeight="true" outlineLevel="0" collapsed="false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4" customFormat="false" ht="21.75" hidden="false" customHeight="true" outlineLevel="0" collapsed="false">
      <c r="B24" s="4" t="str">
        <f aca="false">"SEMANA 1  ·  "&amp;UPPER(Resumen!D15)&amp;"  ·  RIR objetivo "&amp;Resumen!E15&amp;IF(Resumen!C15="","","  ·  "&amp;Resumen!C15)</f>
        <v>SEMANA 1  ·  ADAPTACIÓN  ·  RIR objetivo 3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customFormat="false" ht="19.5" hidden="false" customHeight="true" outlineLevel="0" collapsed="false">
      <c r="B25" s="32" t="s">
        <v>76</v>
      </c>
      <c r="C25" s="32"/>
      <c r="D25" s="33"/>
      <c r="E25" s="32" t="s">
        <v>77</v>
      </c>
      <c r="F25" s="32"/>
      <c r="G25" s="34"/>
      <c r="H25" s="32" t="s">
        <v>78</v>
      </c>
      <c r="I25" s="32"/>
      <c r="J25" s="32"/>
      <c r="K25" s="34"/>
    </row>
    <row r="26" customFormat="false" ht="15" hidden="false" customHeight="true" outlineLevel="0" collapsed="false">
      <c r="E26" s="35" t="s">
        <v>79</v>
      </c>
      <c r="F26" s="35"/>
      <c r="G26" s="35"/>
      <c r="H26" s="35"/>
      <c r="I26" s="36" t="s">
        <v>80</v>
      </c>
      <c r="J26" s="36"/>
      <c r="K26" s="36"/>
      <c r="L26" s="36"/>
    </row>
    <row r="27" customFormat="false" ht="19.5" hidden="false" customHeight="true" outlineLevel="0" collapsed="false">
      <c r="B27" s="37" t="s">
        <v>66</v>
      </c>
      <c r="C27" s="37" t="s">
        <v>68</v>
      </c>
      <c r="D27" s="37"/>
      <c r="E27" s="37" t="s">
        <v>81</v>
      </c>
      <c r="F27" s="37" t="s">
        <v>82</v>
      </c>
      <c r="G27" s="37" t="s">
        <v>83</v>
      </c>
      <c r="H27" s="37" t="s">
        <v>84</v>
      </c>
      <c r="I27" s="38" t="s">
        <v>81</v>
      </c>
      <c r="J27" s="38" t="s">
        <v>82</v>
      </c>
      <c r="K27" s="38" t="s">
        <v>85</v>
      </c>
      <c r="L27" s="38" t="s">
        <v>51</v>
      </c>
      <c r="M27" s="37" t="s">
        <v>86</v>
      </c>
    </row>
    <row r="28" customFormat="false" ht="19.5" hidden="false" customHeight="true" outlineLevel="0" collapsed="false">
      <c r="B28" s="17" t="n">
        <v>1</v>
      </c>
      <c r="C28" s="39" t="str">
        <f aca="false">IF(D10="","",D10)</f>
        <v/>
      </c>
      <c r="D28" s="39"/>
      <c r="E28" s="14"/>
      <c r="F28" s="14"/>
      <c r="G28" s="40"/>
      <c r="H28" s="14" t="str">
        <f aca="false">IF($C28="","",Resumen!$E$15)</f>
        <v/>
      </c>
      <c r="I28" s="34"/>
      <c r="J28" s="41"/>
      <c r="K28" s="41"/>
      <c r="L28" s="34"/>
      <c r="M28" s="42"/>
    </row>
    <row r="29" customFormat="false" ht="19.5" hidden="false" customHeight="true" outlineLevel="0" collapsed="false">
      <c r="B29" s="17" t="n">
        <v>2</v>
      </c>
      <c r="C29" s="39" t="str">
        <f aca="false">IF(D11="","",D11)</f>
        <v/>
      </c>
      <c r="D29" s="39"/>
      <c r="E29" s="14"/>
      <c r="F29" s="14"/>
      <c r="G29" s="40"/>
      <c r="H29" s="14" t="str">
        <f aca="false">IF($C29="","",Resumen!$E$15)</f>
        <v/>
      </c>
      <c r="I29" s="34"/>
      <c r="J29" s="41"/>
      <c r="K29" s="41"/>
      <c r="L29" s="34"/>
      <c r="M29" s="42"/>
    </row>
    <row r="30" customFormat="false" ht="19.5" hidden="false" customHeight="true" outlineLevel="0" collapsed="false">
      <c r="B30" s="17" t="n">
        <v>3</v>
      </c>
      <c r="C30" s="39" t="str">
        <f aca="false">IF(D12="","",D12)</f>
        <v/>
      </c>
      <c r="D30" s="39"/>
      <c r="E30" s="14"/>
      <c r="F30" s="14"/>
      <c r="G30" s="40"/>
      <c r="H30" s="14" t="str">
        <f aca="false">IF($C30="","",Resumen!$E$15)</f>
        <v/>
      </c>
      <c r="I30" s="34"/>
      <c r="J30" s="41"/>
      <c r="K30" s="41"/>
      <c r="L30" s="34"/>
      <c r="M30" s="42"/>
    </row>
    <row r="31" customFormat="false" ht="19.5" hidden="false" customHeight="true" outlineLevel="0" collapsed="false">
      <c r="B31" s="17" t="n">
        <v>4</v>
      </c>
      <c r="C31" s="39" t="str">
        <f aca="false">IF(D13="","",D13)</f>
        <v/>
      </c>
      <c r="D31" s="39"/>
      <c r="E31" s="14"/>
      <c r="F31" s="14"/>
      <c r="G31" s="40"/>
      <c r="H31" s="14" t="str">
        <f aca="false">IF($C31="","",Resumen!$E$15)</f>
        <v/>
      </c>
      <c r="I31" s="34"/>
      <c r="J31" s="41"/>
      <c r="K31" s="41"/>
      <c r="L31" s="34"/>
      <c r="M31" s="42"/>
    </row>
    <row r="32" customFormat="false" ht="19.5" hidden="false" customHeight="true" outlineLevel="0" collapsed="false">
      <c r="B32" s="17" t="n">
        <v>5</v>
      </c>
      <c r="C32" s="39" t="str">
        <f aca="false">IF(D14="","",D14)</f>
        <v/>
      </c>
      <c r="D32" s="39"/>
      <c r="E32" s="14"/>
      <c r="F32" s="14"/>
      <c r="G32" s="40"/>
      <c r="H32" s="14" t="str">
        <f aca="false">IF($C32="","",Resumen!$E$15)</f>
        <v/>
      </c>
      <c r="I32" s="34"/>
      <c r="J32" s="41"/>
      <c r="K32" s="41"/>
      <c r="L32" s="34"/>
      <c r="M32" s="42"/>
    </row>
    <row r="33" customFormat="false" ht="19.5" hidden="false" customHeight="true" outlineLevel="0" collapsed="false">
      <c r="B33" s="17" t="n">
        <v>6</v>
      </c>
      <c r="C33" s="39" t="str">
        <f aca="false">IF(D15="","",D15)</f>
        <v/>
      </c>
      <c r="D33" s="39"/>
      <c r="E33" s="14"/>
      <c r="F33" s="14"/>
      <c r="G33" s="40"/>
      <c r="H33" s="14" t="str">
        <f aca="false">IF($C33="","",Resumen!$E$15)</f>
        <v/>
      </c>
      <c r="I33" s="34"/>
      <c r="J33" s="41"/>
      <c r="K33" s="41"/>
      <c r="L33" s="34"/>
      <c r="M33" s="42"/>
    </row>
    <row r="34" customFormat="false" ht="19.5" hidden="false" customHeight="true" outlineLevel="0" collapsed="false">
      <c r="B34" s="17" t="n">
        <v>7</v>
      </c>
      <c r="C34" s="39" t="str">
        <f aca="false">IF(D16="","",D16)</f>
        <v/>
      </c>
      <c r="D34" s="39"/>
      <c r="E34" s="14"/>
      <c r="F34" s="14"/>
      <c r="G34" s="40"/>
      <c r="H34" s="14" t="str">
        <f aca="false">IF($C34="","",Resumen!$E$15)</f>
        <v/>
      </c>
      <c r="I34" s="34"/>
      <c r="J34" s="41"/>
      <c r="K34" s="41"/>
      <c r="L34" s="34"/>
      <c r="M34" s="42"/>
    </row>
    <row r="35" customFormat="false" ht="19.5" hidden="false" customHeight="true" outlineLevel="0" collapsed="false">
      <c r="B35" s="17" t="n">
        <v>8</v>
      </c>
      <c r="C35" s="39" t="str">
        <f aca="false">IF(D17="","",D17)</f>
        <v/>
      </c>
      <c r="D35" s="39"/>
      <c r="E35" s="14"/>
      <c r="F35" s="14"/>
      <c r="G35" s="40"/>
      <c r="H35" s="14" t="str">
        <f aca="false">IF($C35="","",Resumen!$E$15)</f>
        <v/>
      </c>
      <c r="I35" s="34"/>
      <c r="J35" s="41"/>
      <c r="K35" s="41"/>
      <c r="L35" s="34"/>
      <c r="M35" s="42"/>
    </row>
    <row r="37" customFormat="false" ht="21.75" hidden="false" customHeight="true" outlineLevel="0" collapsed="false">
      <c r="B37" s="4" t="str">
        <f aca="false">"SEMANA 2  ·  "&amp;UPPER(Resumen!D16)&amp;"  ·  RIR objetivo "&amp;Resumen!E16&amp;IF(Resumen!C16="","","  ·  "&amp;Resumen!C16)</f>
        <v>SEMANA 2  ·  PROGRESIÓN  ·  RIR objetivo 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customFormat="false" ht="19.5" hidden="false" customHeight="true" outlineLevel="0" collapsed="false">
      <c r="B38" s="32" t="s">
        <v>76</v>
      </c>
      <c r="C38" s="32"/>
      <c r="D38" s="33"/>
      <c r="E38" s="32" t="s">
        <v>77</v>
      </c>
      <c r="F38" s="32"/>
      <c r="G38" s="34"/>
      <c r="H38" s="32" t="s">
        <v>78</v>
      </c>
      <c r="I38" s="32"/>
      <c r="J38" s="32"/>
      <c r="K38" s="34"/>
    </row>
    <row r="39" customFormat="false" ht="15" hidden="false" customHeight="true" outlineLevel="0" collapsed="false">
      <c r="E39" s="35" t="s">
        <v>79</v>
      </c>
      <c r="F39" s="35"/>
      <c r="G39" s="35"/>
      <c r="H39" s="35"/>
      <c r="I39" s="36" t="s">
        <v>80</v>
      </c>
      <c r="J39" s="36"/>
      <c r="K39" s="36"/>
      <c r="L39" s="36"/>
    </row>
    <row r="40" customFormat="false" ht="19.5" hidden="false" customHeight="true" outlineLevel="0" collapsed="false">
      <c r="B40" s="37" t="s">
        <v>66</v>
      </c>
      <c r="C40" s="37" t="s">
        <v>68</v>
      </c>
      <c r="D40" s="37"/>
      <c r="E40" s="37" t="s">
        <v>81</v>
      </c>
      <c r="F40" s="37" t="s">
        <v>82</v>
      </c>
      <c r="G40" s="37" t="s">
        <v>83</v>
      </c>
      <c r="H40" s="37" t="s">
        <v>84</v>
      </c>
      <c r="I40" s="38" t="s">
        <v>81</v>
      </c>
      <c r="J40" s="38" t="s">
        <v>82</v>
      </c>
      <c r="K40" s="38" t="s">
        <v>85</v>
      </c>
      <c r="L40" s="38" t="s">
        <v>51</v>
      </c>
      <c r="M40" s="37" t="s">
        <v>86</v>
      </c>
    </row>
    <row r="41" customFormat="false" ht="19.5" hidden="false" customHeight="true" outlineLevel="0" collapsed="false">
      <c r="B41" s="17" t="n">
        <v>1</v>
      </c>
      <c r="C41" s="39" t="str">
        <f aca="false">IF(D10="","",D10)</f>
        <v/>
      </c>
      <c r="D41" s="39"/>
      <c r="E41" s="14" t="str">
        <f aca="false">IF(E28="","",E28)</f>
        <v/>
      </c>
      <c r="F41" s="14" t="str">
        <f aca="false">IF(F28="","",F28)</f>
        <v/>
      </c>
      <c r="G41" s="40"/>
      <c r="H41" s="14" t="str">
        <f aca="false">IF($C41="","",Resumen!$E$16)</f>
        <v/>
      </c>
      <c r="I41" s="34"/>
      <c r="J41" s="41"/>
      <c r="K41" s="41"/>
      <c r="L41" s="34"/>
      <c r="M41" s="42"/>
    </row>
    <row r="42" customFormat="false" ht="19.5" hidden="false" customHeight="true" outlineLevel="0" collapsed="false">
      <c r="B42" s="17" t="n">
        <v>2</v>
      </c>
      <c r="C42" s="39" t="str">
        <f aca="false">IF(D11="","",D11)</f>
        <v/>
      </c>
      <c r="D42" s="39"/>
      <c r="E42" s="14" t="str">
        <f aca="false">IF(E29="","",E29)</f>
        <v/>
      </c>
      <c r="F42" s="14" t="str">
        <f aca="false">IF(F29="","",F29)</f>
        <v/>
      </c>
      <c r="G42" s="40"/>
      <c r="H42" s="14" t="str">
        <f aca="false">IF($C42="","",Resumen!$E$16)</f>
        <v/>
      </c>
      <c r="I42" s="34"/>
      <c r="J42" s="41"/>
      <c r="K42" s="41"/>
      <c r="L42" s="34"/>
      <c r="M42" s="42"/>
    </row>
    <row r="43" customFormat="false" ht="19.5" hidden="false" customHeight="true" outlineLevel="0" collapsed="false">
      <c r="B43" s="17" t="n">
        <v>3</v>
      </c>
      <c r="C43" s="39" t="str">
        <f aca="false">IF(D12="","",D12)</f>
        <v/>
      </c>
      <c r="D43" s="39"/>
      <c r="E43" s="14" t="str">
        <f aca="false">IF(E30="","",E30)</f>
        <v/>
      </c>
      <c r="F43" s="14" t="str">
        <f aca="false">IF(F30="","",F30)</f>
        <v/>
      </c>
      <c r="G43" s="40"/>
      <c r="H43" s="14" t="str">
        <f aca="false">IF($C43="","",Resumen!$E$16)</f>
        <v/>
      </c>
      <c r="I43" s="34"/>
      <c r="J43" s="41"/>
      <c r="K43" s="41"/>
      <c r="L43" s="34"/>
      <c r="M43" s="42"/>
    </row>
    <row r="44" customFormat="false" ht="19.5" hidden="false" customHeight="true" outlineLevel="0" collapsed="false">
      <c r="B44" s="17" t="n">
        <v>4</v>
      </c>
      <c r="C44" s="39" t="str">
        <f aca="false">IF(D13="","",D13)</f>
        <v/>
      </c>
      <c r="D44" s="39"/>
      <c r="E44" s="14" t="str">
        <f aca="false">IF(E31="","",E31)</f>
        <v/>
      </c>
      <c r="F44" s="14" t="str">
        <f aca="false">IF(F31="","",F31)</f>
        <v/>
      </c>
      <c r="G44" s="40"/>
      <c r="H44" s="14" t="str">
        <f aca="false">IF($C44="","",Resumen!$E$16)</f>
        <v/>
      </c>
      <c r="I44" s="34"/>
      <c r="J44" s="41"/>
      <c r="K44" s="41"/>
      <c r="L44" s="34"/>
      <c r="M44" s="42"/>
    </row>
    <row r="45" customFormat="false" ht="19.5" hidden="false" customHeight="true" outlineLevel="0" collapsed="false">
      <c r="B45" s="17" t="n">
        <v>5</v>
      </c>
      <c r="C45" s="39" t="str">
        <f aca="false">IF(D14="","",D14)</f>
        <v/>
      </c>
      <c r="D45" s="39"/>
      <c r="E45" s="14" t="str">
        <f aca="false">IF(E32="","",E32)</f>
        <v/>
      </c>
      <c r="F45" s="14" t="str">
        <f aca="false">IF(F32="","",F32)</f>
        <v/>
      </c>
      <c r="G45" s="40"/>
      <c r="H45" s="14" t="str">
        <f aca="false">IF($C45="","",Resumen!$E$16)</f>
        <v/>
      </c>
      <c r="I45" s="34"/>
      <c r="J45" s="41"/>
      <c r="K45" s="41"/>
      <c r="L45" s="34"/>
      <c r="M45" s="42"/>
    </row>
    <row r="46" customFormat="false" ht="19.5" hidden="false" customHeight="true" outlineLevel="0" collapsed="false">
      <c r="B46" s="17" t="n">
        <v>6</v>
      </c>
      <c r="C46" s="39" t="str">
        <f aca="false">IF(D15="","",D15)</f>
        <v/>
      </c>
      <c r="D46" s="39"/>
      <c r="E46" s="14" t="str">
        <f aca="false">IF(E33="","",E33)</f>
        <v/>
      </c>
      <c r="F46" s="14" t="str">
        <f aca="false">IF(F33="","",F33)</f>
        <v/>
      </c>
      <c r="G46" s="40"/>
      <c r="H46" s="14" t="str">
        <f aca="false">IF($C46="","",Resumen!$E$16)</f>
        <v/>
      </c>
      <c r="I46" s="34"/>
      <c r="J46" s="41"/>
      <c r="K46" s="41"/>
      <c r="L46" s="34"/>
      <c r="M46" s="42"/>
    </row>
    <row r="47" customFormat="false" ht="19.5" hidden="false" customHeight="true" outlineLevel="0" collapsed="false">
      <c r="B47" s="17" t="n">
        <v>7</v>
      </c>
      <c r="C47" s="39" t="str">
        <f aca="false">IF(D16="","",D16)</f>
        <v/>
      </c>
      <c r="D47" s="39"/>
      <c r="E47" s="14" t="str">
        <f aca="false">IF(E34="","",E34)</f>
        <v/>
      </c>
      <c r="F47" s="14" t="str">
        <f aca="false">IF(F34="","",F34)</f>
        <v/>
      </c>
      <c r="G47" s="40"/>
      <c r="H47" s="14" t="str">
        <f aca="false">IF($C47="","",Resumen!$E$16)</f>
        <v/>
      </c>
      <c r="I47" s="34"/>
      <c r="J47" s="41"/>
      <c r="K47" s="41"/>
      <c r="L47" s="34"/>
      <c r="M47" s="42"/>
    </row>
    <row r="48" customFormat="false" ht="19.5" hidden="false" customHeight="true" outlineLevel="0" collapsed="false">
      <c r="B48" s="17" t="n">
        <v>8</v>
      </c>
      <c r="C48" s="39" t="str">
        <f aca="false">IF(D17="","",D17)</f>
        <v/>
      </c>
      <c r="D48" s="39"/>
      <c r="E48" s="14" t="str">
        <f aca="false">IF(E35="","",E35)</f>
        <v/>
      </c>
      <c r="F48" s="14" t="str">
        <f aca="false">IF(F35="","",F35)</f>
        <v/>
      </c>
      <c r="G48" s="40"/>
      <c r="H48" s="14" t="str">
        <f aca="false">IF($C48="","",Resumen!$E$16)</f>
        <v/>
      </c>
      <c r="I48" s="34"/>
      <c r="J48" s="41"/>
      <c r="K48" s="41"/>
      <c r="L48" s="34"/>
      <c r="M48" s="42"/>
    </row>
    <row r="50" customFormat="false" ht="21.75" hidden="false" customHeight="true" outlineLevel="0" collapsed="false">
      <c r="B50" s="4" t="str">
        <f aca="false">"SEMANA 3  ·  "&amp;UPPER(Resumen!D17)&amp;"  ·  RIR objetivo "&amp;Resumen!E17&amp;IF(Resumen!C17="","","  ·  "&amp;Resumen!C17)</f>
        <v>SEMANA 3  ·  INTENSIFICACIÓN  ·  RIR objetivo 1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customFormat="false" ht="19.5" hidden="false" customHeight="true" outlineLevel="0" collapsed="false">
      <c r="B51" s="32" t="s">
        <v>76</v>
      </c>
      <c r="C51" s="32"/>
      <c r="D51" s="33"/>
      <c r="E51" s="32" t="s">
        <v>77</v>
      </c>
      <c r="F51" s="32"/>
      <c r="G51" s="34"/>
      <c r="H51" s="32" t="s">
        <v>78</v>
      </c>
      <c r="I51" s="32"/>
      <c r="J51" s="32"/>
      <c r="K51" s="34"/>
    </row>
    <row r="52" customFormat="false" ht="15" hidden="false" customHeight="true" outlineLevel="0" collapsed="false">
      <c r="E52" s="35" t="s">
        <v>79</v>
      </c>
      <c r="F52" s="35"/>
      <c r="G52" s="35"/>
      <c r="H52" s="35"/>
      <c r="I52" s="36" t="s">
        <v>80</v>
      </c>
      <c r="J52" s="36"/>
      <c r="K52" s="36"/>
      <c r="L52" s="36"/>
    </row>
    <row r="53" customFormat="false" ht="19.5" hidden="false" customHeight="true" outlineLevel="0" collapsed="false">
      <c r="B53" s="37" t="s">
        <v>66</v>
      </c>
      <c r="C53" s="37" t="s">
        <v>68</v>
      </c>
      <c r="D53" s="37"/>
      <c r="E53" s="37" t="s">
        <v>81</v>
      </c>
      <c r="F53" s="37" t="s">
        <v>82</v>
      </c>
      <c r="G53" s="37" t="s">
        <v>83</v>
      </c>
      <c r="H53" s="37" t="s">
        <v>84</v>
      </c>
      <c r="I53" s="38" t="s">
        <v>81</v>
      </c>
      <c r="J53" s="38" t="s">
        <v>82</v>
      </c>
      <c r="K53" s="38" t="s">
        <v>85</v>
      </c>
      <c r="L53" s="38" t="s">
        <v>51</v>
      </c>
      <c r="M53" s="37" t="s">
        <v>86</v>
      </c>
    </row>
    <row r="54" customFormat="false" ht="19.5" hidden="false" customHeight="true" outlineLevel="0" collapsed="false">
      <c r="B54" s="17" t="n">
        <v>1</v>
      </c>
      <c r="C54" s="39" t="str">
        <f aca="false">IF(D10="","",D10)</f>
        <v/>
      </c>
      <c r="D54" s="39"/>
      <c r="E54" s="14" t="str">
        <f aca="false">IF(E41="","",E41)</f>
        <v/>
      </c>
      <c r="F54" s="14" t="str">
        <f aca="false">IF(F41="","",F41)</f>
        <v/>
      </c>
      <c r="G54" s="40"/>
      <c r="H54" s="14" t="str">
        <f aca="false">IF($C54="","",Resumen!$E$17)</f>
        <v/>
      </c>
      <c r="I54" s="34"/>
      <c r="J54" s="41"/>
      <c r="K54" s="41"/>
      <c r="L54" s="34"/>
      <c r="M54" s="42"/>
    </row>
    <row r="55" customFormat="false" ht="19.5" hidden="false" customHeight="true" outlineLevel="0" collapsed="false">
      <c r="B55" s="17" t="n">
        <v>2</v>
      </c>
      <c r="C55" s="39" t="str">
        <f aca="false">IF(D11="","",D11)</f>
        <v/>
      </c>
      <c r="D55" s="39"/>
      <c r="E55" s="14" t="str">
        <f aca="false">IF(E42="","",E42)</f>
        <v/>
      </c>
      <c r="F55" s="14" t="str">
        <f aca="false">IF(F42="","",F42)</f>
        <v/>
      </c>
      <c r="G55" s="40"/>
      <c r="H55" s="14" t="str">
        <f aca="false">IF($C55="","",Resumen!$E$17)</f>
        <v/>
      </c>
      <c r="I55" s="34"/>
      <c r="J55" s="41"/>
      <c r="K55" s="41"/>
      <c r="L55" s="34"/>
      <c r="M55" s="42"/>
    </row>
    <row r="56" customFormat="false" ht="19.5" hidden="false" customHeight="true" outlineLevel="0" collapsed="false">
      <c r="B56" s="17" t="n">
        <v>3</v>
      </c>
      <c r="C56" s="39" t="str">
        <f aca="false">IF(D12="","",D12)</f>
        <v/>
      </c>
      <c r="D56" s="39"/>
      <c r="E56" s="14" t="str">
        <f aca="false">IF(E43="","",E43)</f>
        <v/>
      </c>
      <c r="F56" s="14" t="str">
        <f aca="false">IF(F43="","",F43)</f>
        <v/>
      </c>
      <c r="G56" s="40"/>
      <c r="H56" s="14" t="str">
        <f aca="false">IF($C56="","",Resumen!$E$17)</f>
        <v/>
      </c>
      <c r="I56" s="34"/>
      <c r="J56" s="41"/>
      <c r="K56" s="41"/>
      <c r="L56" s="34"/>
      <c r="M56" s="42"/>
    </row>
    <row r="57" customFormat="false" ht="19.5" hidden="false" customHeight="true" outlineLevel="0" collapsed="false">
      <c r="B57" s="17" t="n">
        <v>4</v>
      </c>
      <c r="C57" s="39" t="str">
        <f aca="false">IF(D13="","",D13)</f>
        <v/>
      </c>
      <c r="D57" s="39"/>
      <c r="E57" s="14" t="str">
        <f aca="false">IF(E44="","",E44)</f>
        <v/>
      </c>
      <c r="F57" s="14" t="str">
        <f aca="false">IF(F44="","",F44)</f>
        <v/>
      </c>
      <c r="G57" s="40"/>
      <c r="H57" s="14" t="str">
        <f aca="false">IF($C57="","",Resumen!$E$17)</f>
        <v/>
      </c>
      <c r="I57" s="34"/>
      <c r="J57" s="41"/>
      <c r="K57" s="41"/>
      <c r="L57" s="34"/>
      <c r="M57" s="42"/>
    </row>
    <row r="58" customFormat="false" ht="19.5" hidden="false" customHeight="true" outlineLevel="0" collapsed="false">
      <c r="B58" s="17" t="n">
        <v>5</v>
      </c>
      <c r="C58" s="39" t="str">
        <f aca="false">IF(D14="","",D14)</f>
        <v/>
      </c>
      <c r="D58" s="39"/>
      <c r="E58" s="14" t="str">
        <f aca="false">IF(E45="","",E45)</f>
        <v/>
      </c>
      <c r="F58" s="14" t="str">
        <f aca="false">IF(F45="","",F45)</f>
        <v/>
      </c>
      <c r="G58" s="40"/>
      <c r="H58" s="14" t="str">
        <f aca="false">IF($C58="","",Resumen!$E$17)</f>
        <v/>
      </c>
      <c r="I58" s="34"/>
      <c r="J58" s="41"/>
      <c r="K58" s="41"/>
      <c r="L58" s="34"/>
      <c r="M58" s="42"/>
    </row>
    <row r="59" customFormat="false" ht="19.5" hidden="false" customHeight="true" outlineLevel="0" collapsed="false">
      <c r="B59" s="17" t="n">
        <v>6</v>
      </c>
      <c r="C59" s="39" t="str">
        <f aca="false">IF(D15="","",D15)</f>
        <v/>
      </c>
      <c r="D59" s="39"/>
      <c r="E59" s="14" t="str">
        <f aca="false">IF(E46="","",E46)</f>
        <v/>
      </c>
      <c r="F59" s="14" t="str">
        <f aca="false">IF(F46="","",F46)</f>
        <v/>
      </c>
      <c r="G59" s="40"/>
      <c r="H59" s="14" t="str">
        <f aca="false">IF($C59="","",Resumen!$E$17)</f>
        <v/>
      </c>
      <c r="I59" s="34"/>
      <c r="J59" s="41"/>
      <c r="K59" s="41"/>
      <c r="L59" s="34"/>
      <c r="M59" s="42"/>
    </row>
    <row r="60" customFormat="false" ht="19.5" hidden="false" customHeight="true" outlineLevel="0" collapsed="false">
      <c r="B60" s="17" t="n">
        <v>7</v>
      </c>
      <c r="C60" s="39" t="str">
        <f aca="false">IF(D16="","",D16)</f>
        <v/>
      </c>
      <c r="D60" s="39"/>
      <c r="E60" s="14" t="str">
        <f aca="false">IF(E47="","",E47)</f>
        <v/>
      </c>
      <c r="F60" s="14" t="str">
        <f aca="false">IF(F47="","",F47)</f>
        <v/>
      </c>
      <c r="G60" s="40"/>
      <c r="H60" s="14" t="str">
        <f aca="false">IF($C60="","",Resumen!$E$17)</f>
        <v/>
      </c>
      <c r="I60" s="34"/>
      <c r="J60" s="41"/>
      <c r="K60" s="41"/>
      <c r="L60" s="34"/>
      <c r="M60" s="42"/>
    </row>
    <row r="61" customFormat="false" ht="19.5" hidden="false" customHeight="true" outlineLevel="0" collapsed="false">
      <c r="B61" s="17" t="n">
        <v>8</v>
      </c>
      <c r="C61" s="39" t="str">
        <f aca="false">IF(D17="","",D17)</f>
        <v/>
      </c>
      <c r="D61" s="39"/>
      <c r="E61" s="14" t="str">
        <f aca="false">IF(E48="","",E48)</f>
        <v/>
      </c>
      <c r="F61" s="14" t="str">
        <f aca="false">IF(F48="","",F48)</f>
        <v/>
      </c>
      <c r="G61" s="40"/>
      <c r="H61" s="14" t="str">
        <f aca="false">IF($C61="","",Resumen!$E$17)</f>
        <v/>
      </c>
      <c r="I61" s="34"/>
      <c r="J61" s="41"/>
      <c r="K61" s="41"/>
      <c r="L61" s="34"/>
      <c r="M61" s="42"/>
    </row>
    <row r="63" customFormat="false" ht="21.75" hidden="false" customHeight="true" outlineLevel="0" collapsed="false">
      <c r="B63" s="4" t="str">
        <f aca="false">"SEMANA 4  ·  "&amp;UPPER(Resumen!D18)&amp;"  ·  RIR objetivo "&amp;Resumen!E18&amp;IF(Resumen!C18="","","  ·  "&amp;Resumen!C18)</f>
        <v>SEMANA 4  ·  DESCARGA  ·  RIR objetivo 4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customFormat="false" ht="19.5" hidden="false" customHeight="true" outlineLevel="0" collapsed="false">
      <c r="B64" s="32" t="s">
        <v>76</v>
      </c>
      <c r="C64" s="32"/>
      <c r="D64" s="33"/>
      <c r="E64" s="32" t="s">
        <v>77</v>
      </c>
      <c r="F64" s="32"/>
      <c r="G64" s="34"/>
      <c r="H64" s="32" t="s">
        <v>78</v>
      </c>
      <c r="I64" s="32"/>
      <c r="J64" s="32"/>
      <c r="K64" s="34"/>
    </row>
    <row r="65" customFormat="false" ht="15" hidden="false" customHeight="true" outlineLevel="0" collapsed="false">
      <c r="E65" s="35" t="s">
        <v>79</v>
      </c>
      <c r="F65" s="35"/>
      <c r="G65" s="35"/>
      <c r="H65" s="35"/>
      <c r="I65" s="36" t="s">
        <v>80</v>
      </c>
      <c r="J65" s="36"/>
      <c r="K65" s="36"/>
      <c r="L65" s="36"/>
    </row>
    <row r="66" customFormat="false" ht="19.5" hidden="false" customHeight="true" outlineLevel="0" collapsed="false">
      <c r="B66" s="37" t="s">
        <v>66</v>
      </c>
      <c r="C66" s="37" t="s">
        <v>68</v>
      </c>
      <c r="D66" s="37"/>
      <c r="E66" s="37" t="s">
        <v>81</v>
      </c>
      <c r="F66" s="37" t="s">
        <v>82</v>
      </c>
      <c r="G66" s="37" t="s">
        <v>83</v>
      </c>
      <c r="H66" s="37" t="s">
        <v>84</v>
      </c>
      <c r="I66" s="38" t="s">
        <v>81</v>
      </c>
      <c r="J66" s="38" t="s">
        <v>82</v>
      </c>
      <c r="K66" s="38" t="s">
        <v>85</v>
      </c>
      <c r="L66" s="38" t="s">
        <v>51</v>
      </c>
      <c r="M66" s="37" t="s">
        <v>86</v>
      </c>
    </row>
    <row r="67" customFormat="false" ht="19.5" hidden="false" customHeight="true" outlineLevel="0" collapsed="false">
      <c r="B67" s="17" t="n">
        <v>1</v>
      </c>
      <c r="C67" s="39" t="str">
        <f aca="false">IF(D10="","",D10)</f>
        <v/>
      </c>
      <c r="D67" s="39"/>
      <c r="E67" s="14" t="str">
        <f aca="false">IF(E54="","",E54)</f>
        <v/>
      </c>
      <c r="F67" s="14" t="str">
        <f aca="false">IF(F54="","",F54)</f>
        <v/>
      </c>
      <c r="G67" s="40"/>
      <c r="H67" s="14" t="str">
        <f aca="false">IF($C67="","",Resumen!$E$18)</f>
        <v/>
      </c>
      <c r="I67" s="34"/>
      <c r="J67" s="41"/>
      <c r="K67" s="41"/>
      <c r="L67" s="34"/>
      <c r="M67" s="42"/>
    </row>
    <row r="68" customFormat="false" ht="19.5" hidden="false" customHeight="true" outlineLevel="0" collapsed="false">
      <c r="B68" s="17" t="n">
        <v>2</v>
      </c>
      <c r="C68" s="39" t="str">
        <f aca="false">IF(D11="","",D11)</f>
        <v/>
      </c>
      <c r="D68" s="39"/>
      <c r="E68" s="14" t="str">
        <f aca="false">IF(E55="","",E55)</f>
        <v/>
      </c>
      <c r="F68" s="14" t="str">
        <f aca="false">IF(F55="","",F55)</f>
        <v/>
      </c>
      <c r="G68" s="40"/>
      <c r="H68" s="14" t="str">
        <f aca="false">IF($C68="","",Resumen!$E$18)</f>
        <v/>
      </c>
      <c r="I68" s="34"/>
      <c r="J68" s="41"/>
      <c r="K68" s="41"/>
      <c r="L68" s="34"/>
      <c r="M68" s="42"/>
    </row>
    <row r="69" customFormat="false" ht="19.5" hidden="false" customHeight="true" outlineLevel="0" collapsed="false">
      <c r="B69" s="17" t="n">
        <v>3</v>
      </c>
      <c r="C69" s="39" t="str">
        <f aca="false">IF(D12="","",D12)</f>
        <v/>
      </c>
      <c r="D69" s="39"/>
      <c r="E69" s="14" t="str">
        <f aca="false">IF(E56="","",E56)</f>
        <v/>
      </c>
      <c r="F69" s="14" t="str">
        <f aca="false">IF(F56="","",F56)</f>
        <v/>
      </c>
      <c r="G69" s="40"/>
      <c r="H69" s="14" t="str">
        <f aca="false">IF($C69="","",Resumen!$E$18)</f>
        <v/>
      </c>
      <c r="I69" s="34"/>
      <c r="J69" s="41"/>
      <c r="K69" s="41"/>
      <c r="L69" s="34"/>
      <c r="M69" s="42"/>
    </row>
    <row r="70" customFormat="false" ht="19.5" hidden="false" customHeight="true" outlineLevel="0" collapsed="false">
      <c r="B70" s="17" t="n">
        <v>4</v>
      </c>
      <c r="C70" s="39" t="str">
        <f aca="false">IF(D13="","",D13)</f>
        <v/>
      </c>
      <c r="D70" s="39"/>
      <c r="E70" s="14" t="str">
        <f aca="false">IF(E57="","",E57)</f>
        <v/>
      </c>
      <c r="F70" s="14" t="str">
        <f aca="false">IF(F57="","",F57)</f>
        <v/>
      </c>
      <c r="G70" s="40"/>
      <c r="H70" s="14" t="str">
        <f aca="false">IF($C70="","",Resumen!$E$18)</f>
        <v/>
      </c>
      <c r="I70" s="34"/>
      <c r="J70" s="41"/>
      <c r="K70" s="41"/>
      <c r="L70" s="34"/>
      <c r="M70" s="42"/>
    </row>
    <row r="71" customFormat="false" ht="19.5" hidden="false" customHeight="true" outlineLevel="0" collapsed="false">
      <c r="B71" s="17" t="n">
        <v>5</v>
      </c>
      <c r="C71" s="39" t="str">
        <f aca="false">IF(D14="","",D14)</f>
        <v/>
      </c>
      <c r="D71" s="39"/>
      <c r="E71" s="14" t="str">
        <f aca="false">IF(E58="","",E58)</f>
        <v/>
      </c>
      <c r="F71" s="14" t="str">
        <f aca="false">IF(F58="","",F58)</f>
        <v/>
      </c>
      <c r="G71" s="40"/>
      <c r="H71" s="14" t="str">
        <f aca="false">IF($C71="","",Resumen!$E$18)</f>
        <v/>
      </c>
      <c r="I71" s="34"/>
      <c r="J71" s="41"/>
      <c r="K71" s="41"/>
      <c r="L71" s="34"/>
      <c r="M71" s="42"/>
    </row>
    <row r="72" customFormat="false" ht="19.5" hidden="false" customHeight="true" outlineLevel="0" collapsed="false">
      <c r="B72" s="17" t="n">
        <v>6</v>
      </c>
      <c r="C72" s="39" t="str">
        <f aca="false">IF(D15="","",D15)</f>
        <v/>
      </c>
      <c r="D72" s="39"/>
      <c r="E72" s="14" t="str">
        <f aca="false">IF(E59="","",E59)</f>
        <v/>
      </c>
      <c r="F72" s="14" t="str">
        <f aca="false">IF(F59="","",F59)</f>
        <v/>
      </c>
      <c r="G72" s="40"/>
      <c r="H72" s="14" t="str">
        <f aca="false">IF($C72="","",Resumen!$E$18)</f>
        <v/>
      </c>
      <c r="I72" s="34"/>
      <c r="J72" s="41"/>
      <c r="K72" s="41"/>
      <c r="L72" s="34"/>
      <c r="M72" s="42"/>
    </row>
    <row r="73" customFormat="false" ht="19.5" hidden="false" customHeight="true" outlineLevel="0" collapsed="false">
      <c r="B73" s="17" t="n">
        <v>7</v>
      </c>
      <c r="C73" s="39" t="str">
        <f aca="false">IF(D16="","",D16)</f>
        <v/>
      </c>
      <c r="D73" s="39"/>
      <c r="E73" s="14" t="str">
        <f aca="false">IF(E60="","",E60)</f>
        <v/>
      </c>
      <c r="F73" s="14" t="str">
        <f aca="false">IF(F60="","",F60)</f>
        <v/>
      </c>
      <c r="G73" s="40"/>
      <c r="H73" s="14" t="str">
        <f aca="false">IF($C73="","",Resumen!$E$18)</f>
        <v/>
      </c>
      <c r="I73" s="34"/>
      <c r="J73" s="41"/>
      <c r="K73" s="41"/>
      <c r="L73" s="34"/>
      <c r="M73" s="42"/>
    </row>
    <row r="74" customFormat="false" ht="19.5" hidden="false" customHeight="true" outlineLevel="0" collapsed="false">
      <c r="B74" s="17" t="n">
        <v>8</v>
      </c>
      <c r="C74" s="39" t="str">
        <f aca="false">IF(D17="","",D17)</f>
        <v/>
      </c>
      <c r="D74" s="39"/>
      <c r="E74" s="14" t="str">
        <f aca="false">IF(E61="","",E61)</f>
        <v/>
      </c>
      <c r="F74" s="14" t="str">
        <f aca="false">IF(F61="","",F61)</f>
        <v/>
      </c>
      <c r="G74" s="40"/>
      <c r="H74" s="14" t="str">
        <f aca="false">IF($C74="","",Resumen!$E$18)</f>
        <v/>
      </c>
      <c r="I74" s="34"/>
      <c r="J74" s="41"/>
      <c r="K74" s="41"/>
      <c r="L74" s="34"/>
      <c r="M74" s="42"/>
    </row>
    <row r="76" customFormat="false" ht="19.5" hidden="false" customHeight="true" outlineLevel="0" collapsed="false">
      <c r="B76" s="43" t="s">
        <v>87</v>
      </c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</row>
    <row r="77" customFormat="false" ht="19.5" hidden="false" customHeight="true" outlineLevel="0" collapsed="false">
      <c r="B77" s="37" t="s">
        <v>66</v>
      </c>
      <c r="C77" s="37" t="s">
        <v>68</v>
      </c>
      <c r="D77" s="37"/>
      <c r="E77" s="37" t="s">
        <v>88</v>
      </c>
      <c r="F77" s="37" t="s">
        <v>89</v>
      </c>
      <c r="G77" s="37" t="s">
        <v>90</v>
      </c>
      <c r="H77" s="37" t="s">
        <v>91</v>
      </c>
      <c r="I77" s="37" t="s">
        <v>92</v>
      </c>
      <c r="J77" s="37" t="s">
        <v>93</v>
      </c>
      <c r="K77" s="37" t="s">
        <v>94</v>
      </c>
      <c r="L77" s="37"/>
      <c r="M77" s="37"/>
    </row>
    <row r="78" customFormat="false" ht="18" hidden="false" customHeight="true" outlineLevel="0" collapsed="false">
      <c r="B78" s="12" t="n">
        <v>1</v>
      </c>
      <c r="C78" s="44" t="str">
        <f aca="false">IF(D10="","",D10)</f>
        <v/>
      </c>
      <c r="D78" s="44"/>
      <c r="E78" s="45" t="str">
        <f aca="false">IF(K28="","",IF(ISNUMBER(K28),K28,IFERROR(IFERROR(LEFT(TRIM(RIGHT(SUBSTITUTE(SUBSTITUTE(K28,".",""),"-",REPT(" ",50)),50)),FIND(",",TRIM(RIGHT(SUBSTITUTE(SUBSTITUTE(K28,".",""),"-",REPT(" ",50)),50)))-1)*1,TRIM(RIGHT(SUBSTITUTE(SUBSTITUTE(K28,".",""),"-",REPT(" ",50)),50))*1)+IFERROR(MID(TRIM(RIGHT(SUBSTITUTE(SUBSTITUTE(K28,".",""),"-",REPT(" ",50)),50)),FIND(",",TRIM(RIGHT(SUBSTITUTE(SUBSTITUTE(K28,".",""),"-",REPT(" ",50)),50)))+1,9)/10^LEN(MID(TRIM(RIGHT(SUBSTITUTE(SUBSTITUTE(K28,".",""),"-",REPT(" ",50)),50)),FIND(",",TRIM(RIGHT(SUBSTITUTE(SUBSTITUTE(K28,".",""),"-",REPT(" ",50)),50)))+1,9)),0),"")))</f>
        <v/>
      </c>
      <c r="F78" s="45" t="str">
        <f aca="false">IF(K41="","",IF(ISNUMBER(K41),K41,IFERROR(IFERROR(LEFT(TRIM(RIGHT(SUBSTITUTE(SUBSTITUTE(K41,".",""),"-",REPT(" ",50)),50)),FIND(",",TRIM(RIGHT(SUBSTITUTE(SUBSTITUTE(K41,".",""),"-",REPT(" ",50)),50)))-1)*1,TRIM(RIGHT(SUBSTITUTE(SUBSTITUTE(K41,".",""),"-",REPT(" ",50)),50))*1)+IFERROR(MID(TRIM(RIGHT(SUBSTITUTE(SUBSTITUTE(K41,".",""),"-",REPT(" ",50)),50)),FIND(",",TRIM(RIGHT(SUBSTITUTE(SUBSTITUTE(K41,".",""),"-",REPT(" ",50)),50)))+1,9)/10^LEN(MID(TRIM(RIGHT(SUBSTITUTE(SUBSTITUTE(K41,".",""),"-",REPT(" ",50)),50)),FIND(",",TRIM(RIGHT(SUBSTITUTE(SUBSTITUTE(K41,".",""),"-",REPT(" ",50)),50)))+1,9)),0),"")))</f>
        <v/>
      </c>
      <c r="G78" s="45" t="str">
        <f aca="false">IF(K54="","",IF(ISNUMBER(K54),K54,IFERROR(IFERROR(LEFT(TRIM(RIGHT(SUBSTITUTE(SUBSTITUTE(K54,".",""),"-",REPT(" ",50)),50)),FIND(",",TRIM(RIGHT(SUBSTITUTE(SUBSTITUTE(K54,".",""),"-",REPT(" ",50)),50)))-1)*1,TRIM(RIGHT(SUBSTITUTE(SUBSTITUTE(K54,".",""),"-",REPT(" ",50)),50))*1)+IFERROR(MID(TRIM(RIGHT(SUBSTITUTE(SUBSTITUTE(K54,".",""),"-",REPT(" ",50)),50)),FIND(",",TRIM(RIGHT(SUBSTITUTE(SUBSTITUTE(K54,".",""),"-",REPT(" ",50)),50)))+1,9)/10^LEN(MID(TRIM(RIGHT(SUBSTITUTE(SUBSTITUTE(K54,".",""),"-",REPT(" ",50)),50)),FIND(",",TRIM(RIGHT(SUBSTITUTE(SUBSTITUTE(K54,".",""),"-",REPT(" ",50)),50)))+1,9)),0),"")))</f>
        <v/>
      </c>
      <c r="H78" s="45" t="str">
        <f aca="false">IF(K67="","",IF(ISNUMBER(K67),K67,IFERROR(IFERROR(LEFT(TRIM(RIGHT(SUBSTITUTE(SUBSTITUTE(K67,".",""),"-",REPT(" ",50)),50)),FIND(",",TRIM(RIGHT(SUBSTITUTE(SUBSTITUTE(K67,".",""),"-",REPT(" ",50)),50)))-1)*1,TRIM(RIGHT(SUBSTITUTE(SUBSTITUTE(K67,".",""),"-",REPT(" ",50)),50))*1)+IFERROR(MID(TRIM(RIGHT(SUBSTITUTE(SUBSTITUTE(K67,".",""),"-",REPT(" ",50)),50)),FIND(",",TRIM(RIGHT(SUBSTITUTE(SUBSTITUTE(K67,".",""),"-",REPT(" ",50)),50)))+1,9)/10^LEN(MID(TRIM(RIGHT(SUBSTITUTE(SUBSTITUTE(K67,".",""),"-",REPT(" ",50)),50)),FIND(",",TRIM(RIGHT(SUBSTITUTE(SUBSTITUTE(K67,".",""),"-",REPT(" ",50)),50)))+1,9)),0),"")))</f>
        <v/>
      </c>
      <c r="I78" s="46" t="str">
        <f aca="false">IF(OR(E78="",G78=""),"",G78-E78)</f>
        <v/>
      </c>
      <c r="J78" s="47" t="str">
        <f aca="false">IF(OR(E78="",G78="",E78=0),"",(G78-E78)/E78)</f>
        <v/>
      </c>
      <c r="K78" s="13" t="str">
        <f aca="false">IF(I78="","",IF(I78&gt;0,"▲ Progresa",IF(I78=0,"■ Estable","▼ Revisar")))</f>
        <v/>
      </c>
      <c r="L78" s="13"/>
      <c r="M78" s="13"/>
    </row>
    <row r="79" customFormat="false" ht="18" hidden="false" customHeight="true" outlineLevel="0" collapsed="false">
      <c r="B79" s="17" t="n">
        <v>2</v>
      </c>
      <c r="C79" s="39" t="str">
        <f aca="false">IF(D11="","",D11)</f>
        <v/>
      </c>
      <c r="D79" s="39"/>
      <c r="E79" s="48" t="str">
        <f aca="false">IF(K29="","",IF(ISNUMBER(K29),K29,IFERROR(IFERROR(LEFT(TRIM(RIGHT(SUBSTITUTE(SUBSTITUTE(K29,".",""),"-",REPT(" ",50)),50)),FIND(",",TRIM(RIGHT(SUBSTITUTE(SUBSTITUTE(K29,".",""),"-",REPT(" ",50)),50)))-1)*1,TRIM(RIGHT(SUBSTITUTE(SUBSTITUTE(K29,".",""),"-",REPT(" ",50)),50))*1)+IFERROR(MID(TRIM(RIGHT(SUBSTITUTE(SUBSTITUTE(K29,".",""),"-",REPT(" ",50)),50)),FIND(",",TRIM(RIGHT(SUBSTITUTE(SUBSTITUTE(K29,".",""),"-",REPT(" ",50)),50)))+1,9)/10^LEN(MID(TRIM(RIGHT(SUBSTITUTE(SUBSTITUTE(K29,".",""),"-",REPT(" ",50)),50)),FIND(",",TRIM(RIGHT(SUBSTITUTE(SUBSTITUTE(K29,".",""),"-",REPT(" ",50)),50)))+1,9)),0),"")))</f>
        <v/>
      </c>
      <c r="F79" s="48" t="str">
        <f aca="false">IF(K42="","",IF(ISNUMBER(K42),K42,IFERROR(IFERROR(LEFT(TRIM(RIGHT(SUBSTITUTE(SUBSTITUTE(K42,".",""),"-",REPT(" ",50)),50)),FIND(",",TRIM(RIGHT(SUBSTITUTE(SUBSTITUTE(K42,".",""),"-",REPT(" ",50)),50)))-1)*1,TRIM(RIGHT(SUBSTITUTE(SUBSTITUTE(K42,".",""),"-",REPT(" ",50)),50))*1)+IFERROR(MID(TRIM(RIGHT(SUBSTITUTE(SUBSTITUTE(K42,".",""),"-",REPT(" ",50)),50)),FIND(",",TRIM(RIGHT(SUBSTITUTE(SUBSTITUTE(K42,".",""),"-",REPT(" ",50)),50)))+1,9)/10^LEN(MID(TRIM(RIGHT(SUBSTITUTE(SUBSTITUTE(K42,".",""),"-",REPT(" ",50)),50)),FIND(",",TRIM(RIGHT(SUBSTITUTE(SUBSTITUTE(K42,".",""),"-",REPT(" ",50)),50)))+1,9)),0),"")))</f>
        <v/>
      </c>
      <c r="G79" s="48" t="str">
        <f aca="false">IF(K55="","",IF(ISNUMBER(K55),K55,IFERROR(IFERROR(LEFT(TRIM(RIGHT(SUBSTITUTE(SUBSTITUTE(K55,".",""),"-",REPT(" ",50)),50)),FIND(",",TRIM(RIGHT(SUBSTITUTE(SUBSTITUTE(K55,".",""),"-",REPT(" ",50)),50)))-1)*1,TRIM(RIGHT(SUBSTITUTE(SUBSTITUTE(K55,".",""),"-",REPT(" ",50)),50))*1)+IFERROR(MID(TRIM(RIGHT(SUBSTITUTE(SUBSTITUTE(K55,".",""),"-",REPT(" ",50)),50)),FIND(",",TRIM(RIGHT(SUBSTITUTE(SUBSTITUTE(K55,".",""),"-",REPT(" ",50)),50)))+1,9)/10^LEN(MID(TRIM(RIGHT(SUBSTITUTE(SUBSTITUTE(K55,".",""),"-",REPT(" ",50)),50)),FIND(",",TRIM(RIGHT(SUBSTITUTE(SUBSTITUTE(K55,".",""),"-",REPT(" ",50)),50)))+1,9)),0),"")))</f>
        <v/>
      </c>
      <c r="H79" s="48" t="str">
        <f aca="false">IF(K68="","",IF(ISNUMBER(K68),K68,IFERROR(IFERROR(LEFT(TRIM(RIGHT(SUBSTITUTE(SUBSTITUTE(K68,".",""),"-",REPT(" ",50)),50)),FIND(",",TRIM(RIGHT(SUBSTITUTE(SUBSTITUTE(K68,".",""),"-",REPT(" ",50)),50)))-1)*1,TRIM(RIGHT(SUBSTITUTE(SUBSTITUTE(K68,".",""),"-",REPT(" ",50)),50))*1)+IFERROR(MID(TRIM(RIGHT(SUBSTITUTE(SUBSTITUTE(K68,".",""),"-",REPT(" ",50)),50)),FIND(",",TRIM(RIGHT(SUBSTITUTE(SUBSTITUTE(K68,".",""),"-",REPT(" ",50)),50)))+1,9)/10^LEN(MID(TRIM(RIGHT(SUBSTITUTE(SUBSTITUTE(K68,".",""),"-",REPT(" ",50)),50)),FIND(",",TRIM(RIGHT(SUBSTITUTE(SUBSTITUTE(K68,".",""),"-",REPT(" ",50)),50)))+1,9)),0),"")))</f>
        <v/>
      </c>
      <c r="I79" s="49" t="str">
        <f aca="false">IF(OR(E79="",G79=""),"",G79-E79)</f>
        <v/>
      </c>
      <c r="J79" s="50" t="str">
        <f aca="false">IF(OR(E79="",G79="",E79=0),"",(G79-E79)/E79)</f>
        <v/>
      </c>
      <c r="K79" s="18" t="str">
        <f aca="false">IF(I79="","",IF(I79&gt;0,"▲ Progresa",IF(I79=0,"■ Estable","▼ Revisar")))</f>
        <v/>
      </c>
      <c r="L79" s="18"/>
      <c r="M79" s="18"/>
    </row>
    <row r="80" customFormat="false" ht="18" hidden="false" customHeight="true" outlineLevel="0" collapsed="false">
      <c r="B80" s="12" t="n">
        <v>3</v>
      </c>
      <c r="C80" s="44" t="str">
        <f aca="false">IF(D12="","",D12)</f>
        <v/>
      </c>
      <c r="D80" s="44"/>
      <c r="E80" s="45" t="str">
        <f aca="false">IF(K30="","",IF(ISNUMBER(K30),K30,IFERROR(IFERROR(LEFT(TRIM(RIGHT(SUBSTITUTE(SUBSTITUTE(K30,".",""),"-",REPT(" ",50)),50)),FIND(",",TRIM(RIGHT(SUBSTITUTE(SUBSTITUTE(K30,".",""),"-",REPT(" ",50)),50)))-1)*1,TRIM(RIGHT(SUBSTITUTE(SUBSTITUTE(K30,".",""),"-",REPT(" ",50)),50))*1)+IFERROR(MID(TRIM(RIGHT(SUBSTITUTE(SUBSTITUTE(K30,".",""),"-",REPT(" ",50)),50)),FIND(",",TRIM(RIGHT(SUBSTITUTE(SUBSTITUTE(K30,".",""),"-",REPT(" ",50)),50)))+1,9)/10^LEN(MID(TRIM(RIGHT(SUBSTITUTE(SUBSTITUTE(K30,".",""),"-",REPT(" ",50)),50)),FIND(",",TRIM(RIGHT(SUBSTITUTE(SUBSTITUTE(K30,".",""),"-",REPT(" ",50)),50)))+1,9)),0),"")))</f>
        <v/>
      </c>
      <c r="F80" s="45" t="str">
        <f aca="false">IF(K43="","",IF(ISNUMBER(K43),K43,IFERROR(IFERROR(LEFT(TRIM(RIGHT(SUBSTITUTE(SUBSTITUTE(K43,".",""),"-",REPT(" ",50)),50)),FIND(",",TRIM(RIGHT(SUBSTITUTE(SUBSTITUTE(K43,".",""),"-",REPT(" ",50)),50)))-1)*1,TRIM(RIGHT(SUBSTITUTE(SUBSTITUTE(K43,".",""),"-",REPT(" ",50)),50))*1)+IFERROR(MID(TRIM(RIGHT(SUBSTITUTE(SUBSTITUTE(K43,".",""),"-",REPT(" ",50)),50)),FIND(",",TRIM(RIGHT(SUBSTITUTE(SUBSTITUTE(K43,".",""),"-",REPT(" ",50)),50)))+1,9)/10^LEN(MID(TRIM(RIGHT(SUBSTITUTE(SUBSTITUTE(K43,".",""),"-",REPT(" ",50)),50)),FIND(",",TRIM(RIGHT(SUBSTITUTE(SUBSTITUTE(K43,".",""),"-",REPT(" ",50)),50)))+1,9)),0),"")))</f>
        <v/>
      </c>
      <c r="G80" s="45" t="str">
        <f aca="false">IF(K56="","",IF(ISNUMBER(K56),K56,IFERROR(IFERROR(LEFT(TRIM(RIGHT(SUBSTITUTE(SUBSTITUTE(K56,".",""),"-",REPT(" ",50)),50)),FIND(",",TRIM(RIGHT(SUBSTITUTE(SUBSTITUTE(K56,".",""),"-",REPT(" ",50)),50)))-1)*1,TRIM(RIGHT(SUBSTITUTE(SUBSTITUTE(K56,".",""),"-",REPT(" ",50)),50))*1)+IFERROR(MID(TRIM(RIGHT(SUBSTITUTE(SUBSTITUTE(K56,".",""),"-",REPT(" ",50)),50)),FIND(",",TRIM(RIGHT(SUBSTITUTE(SUBSTITUTE(K56,".",""),"-",REPT(" ",50)),50)))+1,9)/10^LEN(MID(TRIM(RIGHT(SUBSTITUTE(SUBSTITUTE(K56,".",""),"-",REPT(" ",50)),50)),FIND(",",TRIM(RIGHT(SUBSTITUTE(SUBSTITUTE(K56,".",""),"-",REPT(" ",50)),50)))+1,9)),0),"")))</f>
        <v/>
      </c>
      <c r="H80" s="45" t="str">
        <f aca="false">IF(K69="","",IF(ISNUMBER(K69),K69,IFERROR(IFERROR(LEFT(TRIM(RIGHT(SUBSTITUTE(SUBSTITUTE(K69,".",""),"-",REPT(" ",50)),50)),FIND(",",TRIM(RIGHT(SUBSTITUTE(SUBSTITUTE(K69,".",""),"-",REPT(" ",50)),50)))-1)*1,TRIM(RIGHT(SUBSTITUTE(SUBSTITUTE(K69,".",""),"-",REPT(" ",50)),50))*1)+IFERROR(MID(TRIM(RIGHT(SUBSTITUTE(SUBSTITUTE(K69,".",""),"-",REPT(" ",50)),50)),FIND(",",TRIM(RIGHT(SUBSTITUTE(SUBSTITUTE(K69,".",""),"-",REPT(" ",50)),50)))+1,9)/10^LEN(MID(TRIM(RIGHT(SUBSTITUTE(SUBSTITUTE(K69,".",""),"-",REPT(" ",50)),50)),FIND(",",TRIM(RIGHT(SUBSTITUTE(SUBSTITUTE(K69,".",""),"-",REPT(" ",50)),50)))+1,9)),0),"")))</f>
        <v/>
      </c>
      <c r="I80" s="46" t="str">
        <f aca="false">IF(OR(E80="",G80=""),"",G80-E80)</f>
        <v/>
      </c>
      <c r="J80" s="47" t="str">
        <f aca="false">IF(OR(E80="",G80="",E80=0),"",(G80-E80)/E80)</f>
        <v/>
      </c>
      <c r="K80" s="13" t="str">
        <f aca="false">IF(I80="","",IF(I80&gt;0,"▲ Progresa",IF(I80=0,"■ Estable","▼ Revisar")))</f>
        <v/>
      </c>
      <c r="L80" s="13"/>
      <c r="M80" s="13"/>
    </row>
    <row r="81" customFormat="false" ht="18" hidden="false" customHeight="true" outlineLevel="0" collapsed="false">
      <c r="B81" s="17" t="n">
        <v>4</v>
      </c>
      <c r="C81" s="39" t="str">
        <f aca="false">IF(D13="","",D13)</f>
        <v/>
      </c>
      <c r="D81" s="39"/>
      <c r="E81" s="48" t="str">
        <f aca="false">IF(K31="","",IF(ISNUMBER(K31),K31,IFERROR(IFERROR(LEFT(TRIM(RIGHT(SUBSTITUTE(SUBSTITUTE(K31,".",""),"-",REPT(" ",50)),50)),FIND(",",TRIM(RIGHT(SUBSTITUTE(SUBSTITUTE(K31,".",""),"-",REPT(" ",50)),50)))-1)*1,TRIM(RIGHT(SUBSTITUTE(SUBSTITUTE(K31,".",""),"-",REPT(" ",50)),50))*1)+IFERROR(MID(TRIM(RIGHT(SUBSTITUTE(SUBSTITUTE(K31,".",""),"-",REPT(" ",50)),50)),FIND(",",TRIM(RIGHT(SUBSTITUTE(SUBSTITUTE(K31,".",""),"-",REPT(" ",50)),50)))+1,9)/10^LEN(MID(TRIM(RIGHT(SUBSTITUTE(SUBSTITUTE(K31,".",""),"-",REPT(" ",50)),50)),FIND(",",TRIM(RIGHT(SUBSTITUTE(SUBSTITUTE(K31,".",""),"-",REPT(" ",50)),50)))+1,9)),0),"")))</f>
        <v/>
      </c>
      <c r="F81" s="48" t="str">
        <f aca="false">IF(K44="","",IF(ISNUMBER(K44),K44,IFERROR(IFERROR(LEFT(TRIM(RIGHT(SUBSTITUTE(SUBSTITUTE(K44,".",""),"-",REPT(" ",50)),50)),FIND(",",TRIM(RIGHT(SUBSTITUTE(SUBSTITUTE(K44,".",""),"-",REPT(" ",50)),50)))-1)*1,TRIM(RIGHT(SUBSTITUTE(SUBSTITUTE(K44,".",""),"-",REPT(" ",50)),50))*1)+IFERROR(MID(TRIM(RIGHT(SUBSTITUTE(SUBSTITUTE(K44,".",""),"-",REPT(" ",50)),50)),FIND(",",TRIM(RIGHT(SUBSTITUTE(SUBSTITUTE(K44,".",""),"-",REPT(" ",50)),50)))+1,9)/10^LEN(MID(TRIM(RIGHT(SUBSTITUTE(SUBSTITUTE(K44,".",""),"-",REPT(" ",50)),50)),FIND(",",TRIM(RIGHT(SUBSTITUTE(SUBSTITUTE(K44,".",""),"-",REPT(" ",50)),50)))+1,9)),0),"")))</f>
        <v/>
      </c>
      <c r="G81" s="48" t="str">
        <f aca="false">IF(K57="","",IF(ISNUMBER(K57),K57,IFERROR(IFERROR(LEFT(TRIM(RIGHT(SUBSTITUTE(SUBSTITUTE(K57,".",""),"-",REPT(" ",50)),50)),FIND(",",TRIM(RIGHT(SUBSTITUTE(SUBSTITUTE(K57,".",""),"-",REPT(" ",50)),50)))-1)*1,TRIM(RIGHT(SUBSTITUTE(SUBSTITUTE(K57,".",""),"-",REPT(" ",50)),50))*1)+IFERROR(MID(TRIM(RIGHT(SUBSTITUTE(SUBSTITUTE(K57,".",""),"-",REPT(" ",50)),50)),FIND(",",TRIM(RIGHT(SUBSTITUTE(SUBSTITUTE(K57,".",""),"-",REPT(" ",50)),50)))+1,9)/10^LEN(MID(TRIM(RIGHT(SUBSTITUTE(SUBSTITUTE(K57,".",""),"-",REPT(" ",50)),50)),FIND(",",TRIM(RIGHT(SUBSTITUTE(SUBSTITUTE(K57,".",""),"-",REPT(" ",50)),50)))+1,9)),0),"")))</f>
        <v/>
      </c>
      <c r="H81" s="48" t="str">
        <f aca="false">IF(K70="","",IF(ISNUMBER(K70),K70,IFERROR(IFERROR(LEFT(TRIM(RIGHT(SUBSTITUTE(SUBSTITUTE(K70,".",""),"-",REPT(" ",50)),50)),FIND(",",TRIM(RIGHT(SUBSTITUTE(SUBSTITUTE(K70,".",""),"-",REPT(" ",50)),50)))-1)*1,TRIM(RIGHT(SUBSTITUTE(SUBSTITUTE(K70,".",""),"-",REPT(" ",50)),50))*1)+IFERROR(MID(TRIM(RIGHT(SUBSTITUTE(SUBSTITUTE(K70,".",""),"-",REPT(" ",50)),50)),FIND(",",TRIM(RIGHT(SUBSTITUTE(SUBSTITUTE(K70,".",""),"-",REPT(" ",50)),50)))+1,9)/10^LEN(MID(TRIM(RIGHT(SUBSTITUTE(SUBSTITUTE(K70,".",""),"-",REPT(" ",50)),50)),FIND(",",TRIM(RIGHT(SUBSTITUTE(SUBSTITUTE(K70,".",""),"-",REPT(" ",50)),50)))+1,9)),0),"")))</f>
        <v/>
      </c>
      <c r="I81" s="49" t="str">
        <f aca="false">IF(OR(E81="",G81=""),"",G81-E81)</f>
        <v/>
      </c>
      <c r="J81" s="50" t="str">
        <f aca="false">IF(OR(E81="",G81="",E81=0),"",(G81-E81)/E81)</f>
        <v/>
      </c>
      <c r="K81" s="18" t="str">
        <f aca="false">IF(I81="","",IF(I81&gt;0,"▲ Progresa",IF(I81=0,"■ Estable","▼ Revisar")))</f>
        <v/>
      </c>
      <c r="L81" s="18"/>
      <c r="M81" s="18"/>
    </row>
    <row r="82" customFormat="false" ht="18" hidden="false" customHeight="true" outlineLevel="0" collapsed="false">
      <c r="B82" s="12" t="n">
        <v>5</v>
      </c>
      <c r="C82" s="44" t="str">
        <f aca="false">IF(D14="","",D14)</f>
        <v/>
      </c>
      <c r="D82" s="44"/>
      <c r="E82" s="45" t="str">
        <f aca="false">IF(K32="","",IF(ISNUMBER(K32),K32,IFERROR(IFERROR(LEFT(TRIM(RIGHT(SUBSTITUTE(SUBSTITUTE(K32,".",""),"-",REPT(" ",50)),50)),FIND(",",TRIM(RIGHT(SUBSTITUTE(SUBSTITUTE(K32,".",""),"-",REPT(" ",50)),50)))-1)*1,TRIM(RIGHT(SUBSTITUTE(SUBSTITUTE(K32,".",""),"-",REPT(" ",50)),50))*1)+IFERROR(MID(TRIM(RIGHT(SUBSTITUTE(SUBSTITUTE(K32,".",""),"-",REPT(" ",50)),50)),FIND(",",TRIM(RIGHT(SUBSTITUTE(SUBSTITUTE(K32,".",""),"-",REPT(" ",50)),50)))+1,9)/10^LEN(MID(TRIM(RIGHT(SUBSTITUTE(SUBSTITUTE(K32,".",""),"-",REPT(" ",50)),50)),FIND(",",TRIM(RIGHT(SUBSTITUTE(SUBSTITUTE(K32,".",""),"-",REPT(" ",50)),50)))+1,9)),0),"")))</f>
        <v/>
      </c>
      <c r="F82" s="45" t="str">
        <f aca="false">IF(K45="","",IF(ISNUMBER(K45),K45,IFERROR(IFERROR(LEFT(TRIM(RIGHT(SUBSTITUTE(SUBSTITUTE(K45,".",""),"-",REPT(" ",50)),50)),FIND(",",TRIM(RIGHT(SUBSTITUTE(SUBSTITUTE(K45,".",""),"-",REPT(" ",50)),50)))-1)*1,TRIM(RIGHT(SUBSTITUTE(SUBSTITUTE(K45,".",""),"-",REPT(" ",50)),50))*1)+IFERROR(MID(TRIM(RIGHT(SUBSTITUTE(SUBSTITUTE(K45,".",""),"-",REPT(" ",50)),50)),FIND(",",TRIM(RIGHT(SUBSTITUTE(SUBSTITUTE(K45,".",""),"-",REPT(" ",50)),50)))+1,9)/10^LEN(MID(TRIM(RIGHT(SUBSTITUTE(SUBSTITUTE(K45,".",""),"-",REPT(" ",50)),50)),FIND(",",TRIM(RIGHT(SUBSTITUTE(SUBSTITUTE(K45,".",""),"-",REPT(" ",50)),50)))+1,9)),0),"")))</f>
        <v/>
      </c>
      <c r="G82" s="45" t="str">
        <f aca="false">IF(K58="","",IF(ISNUMBER(K58),K58,IFERROR(IFERROR(LEFT(TRIM(RIGHT(SUBSTITUTE(SUBSTITUTE(K58,".",""),"-",REPT(" ",50)),50)),FIND(",",TRIM(RIGHT(SUBSTITUTE(SUBSTITUTE(K58,".",""),"-",REPT(" ",50)),50)))-1)*1,TRIM(RIGHT(SUBSTITUTE(SUBSTITUTE(K58,".",""),"-",REPT(" ",50)),50))*1)+IFERROR(MID(TRIM(RIGHT(SUBSTITUTE(SUBSTITUTE(K58,".",""),"-",REPT(" ",50)),50)),FIND(",",TRIM(RIGHT(SUBSTITUTE(SUBSTITUTE(K58,".",""),"-",REPT(" ",50)),50)))+1,9)/10^LEN(MID(TRIM(RIGHT(SUBSTITUTE(SUBSTITUTE(K58,".",""),"-",REPT(" ",50)),50)),FIND(",",TRIM(RIGHT(SUBSTITUTE(SUBSTITUTE(K58,".",""),"-",REPT(" ",50)),50)))+1,9)),0),"")))</f>
        <v/>
      </c>
      <c r="H82" s="45" t="str">
        <f aca="false">IF(K71="","",IF(ISNUMBER(K71),K71,IFERROR(IFERROR(LEFT(TRIM(RIGHT(SUBSTITUTE(SUBSTITUTE(K71,".",""),"-",REPT(" ",50)),50)),FIND(",",TRIM(RIGHT(SUBSTITUTE(SUBSTITUTE(K71,".",""),"-",REPT(" ",50)),50)))-1)*1,TRIM(RIGHT(SUBSTITUTE(SUBSTITUTE(K71,".",""),"-",REPT(" ",50)),50))*1)+IFERROR(MID(TRIM(RIGHT(SUBSTITUTE(SUBSTITUTE(K71,".",""),"-",REPT(" ",50)),50)),FIND(",",TRIM(RIGHT(SUBSTITUTE(SUBSTITUTE(K71,".",""),"-",REPT(" ",50)),50)))+1,9)/10^LEN(MID(TRIM(RIGHT(SUBSTITUTE(SUBSTITUTE(K71,".",""),"-",REPT(" ",50)),50)),FIND(",",TRIM(RIGHT(SUBSTITUTE(SUBSTITUTE(K71,".",""),"-",REPT(" ",50)),50)))+1,9)),0),"")))</f>
        <v/>
      </c>
      <c r="I82" s="46" t="str">
        <f aca="false">IF(OR(E82="",G82=""),"",G82-E82)</f>
        <v/>
      </c>
      <c r="J82" s="47" t="str">
        <f aca="false">IF(OR(E82="",G82="",E82=0),"",(G82-E82)/E82)</f>
        <v/>
      </c>
      <c r="K82" s="13" t="str">
        <f aca="false">IF(I82="","",IF(I82&gt;0,"▲ Progresa",IF(I82=0,"■ Estable","▼ Revisar")))</f>
        <v/>
      </c>
      <c r="L82" s="13"/>
      <c r="M82" s="13"/>
    </row>
    <row r="83" customFormat="false" ht="18" hidden="false" customHeight="true" outlineLevel="0" collapsed="false">
      <c r="B83" s="17" t="n">
        <v>6</v>
      </c>
      <c r="C83" s="39" t="str">
        <f aca="false">IF(D15="","",D15)</f>
        <v/>
      </c>
      <c r="D83" s="39"/>
      <c r="E83" s="48" t="str">
        <f aca="false">IF(K33="","",IF(ISNUMBER(K33),K33,IFERROR(IFERROR(LEFT(TRIM(RIGHT(SUBSTITUTE(SUBSTITUTE(K33,".",""),"-",REPT(" ",50)),50)),FIND(",",TRIM(RIGHT(SUBSTITUTE(SUBSTITUTE(K33,".",""),"-",REPT(" ",50)),50)))-1)*1,TRIM(RIGHT(SUBSTITUTE(SUBSTITUTE(K33,".",""),"-",REPT(" ",50)),50))*1)+IFERROR(MID(TRIM(RIGHT(SUBSTITUTE(SUBSTITUTE(K33,".",""),"-",REPT(" ",50)),50)),FIND(",",TRIM(RIGHT(SUBSTITUTE(SUBSTITUTE(K33,".",""),"-",REPT(" ",50)),50)))+1,9)/10^LEN(MID(TRIM(RIGHT(SUBSTITUTE(SUBSTITUTE(K33,".",""),"-",REPT(" ",50)),50)),FIND(",",TRIM(RIGHT(SUBSTITUTE(SUBSTITUTE(K33,".",""),"-",REPT(" ",50)),50)))+1,9)),0),"")))</f>
        <v/>
      </c>
      <c r="F83" s="48" t="str">
        <f aca="false">IF(K46="","",IF(ISNUMBER(K46),K46,IFERROR(IFERROR(LEFT(TRIM(RIGHT(SUBSTITUTE(SUBSTITUTE(K46,".",""),"-",REPT(" ",50)),50)),FIND(",",TRIM(RIGHT(SUBSTITUTE(SUBSTITUTE(K46,".",""),"-",REPT(" ",50)),50)))-1)*1,TRIM(RIGHT(SUBSTITUTE(SUBSTITUTE(K46,".",""),"-",REPT(" ",50)),50))*1)+IFERROR(MID(TRIM(RIGHT(SUBSTITUTE(SUBSTITUTE(K46,".",""),"-",REPT(" ",50)),50)),FIND(",",TRIM(RIGHT(SUBSTITUTE(SUBSTITUTE(K46,".",""),"-",REPT(" ",50)),50)))+1,9)/10^LEN(MID(TRIM(RIGHT(SUBSTITUTE(SUBSTITUTE(K46,".",""),"-",REPT(" ",50)),50)),FIND(",",TRIM(RIGHT(SUBSTITUTE(SUBSTITUTE(K46,".",""),"-",REPT(" ",50)),50)))+1,9)),0),"")))</f>
        <v/>
      </c>
      <c r="G83" s="48" t="str">
        <f aca="false">IF(K59="","",IF(ISNUMBER(K59),K59,IFERROR(IFERROR(LEFT(TRIM(RIGHT(SUBSTITUTE(SUBSTITUTE(K59,".",""),"-",REPT(" ",50)),50)),FIND(",",TRIM(RIGHT(SUBSTITUTE(SUBSTITUTE(K59,".",""),"-",REPT(" ",50)),50)))-1)*1,TRIM(RIGHT(SUBSTITUTE(SUBSTITUTE(K59,".",""),"-",REPT(" ",50)),50))*1)+IFERROR(MID(TRIM(RIGHT(SUBSTITUTE(SUBSTITUTE(K59,".",""),"-",REPT(" ",50)),50)),FIND(",",TRIM(RIGHT(SUBSTITUTE(SUBSTITUTE(K59,".",""),"-",REPT(" ",50)),50)))+1,9)/10^LEN(MID(TRIM(RIGHT(SUBSTITUTE(SUBSTITUTE(K59,".",""),"-",REPT(" ",50)),50)),FIND(",",TRIM(RIGHT(SUBSTITUTE(SUBSTITUTE(K59,".",""),"-",REPT(" ",50)),50)))+1,9)),0),"")))</f>
        <v/>
      </c>
      <c r="H83" s="48" t="str">
        <f aca="false">IF(K72="","",IF(ISNUMBER(K72),K72,IFERROR(IFERROR(LEFT(TRIM(RIGHT(SUBSTITUTE(SUBSTITUTE(K72,".",""),"-",REPT(" ",50)),50)),FIND(",",TRIM(RIGHT(SUBSTITUTE(SUBSTITUTE(K72,".",""),"-",REPT(" ",50)),50)))-1)*1,TRIM(RIGHT(SUBSTITUTE(SUBSTITUTE(K72,".",""),"-",REPT(" ",50)),50))*1)+IFERROR(MID(TRIM(RIGHT(SUBSTITUTE(SUBSTITUTE(K72,".",""),"-",REPT(" ",50)),50)),FIND(",",TRIM(RIGHT(SUBSTITUTE(SUBSTITUTE(K72,".",""),"-",REPT(" ",50)),50)))+1,9)/10^LEN(MID(TRIM(RIGHT(SUBSTITUTE(SUBSTITUTE(K72,".",""),"-",REPT(" ",50)),50)),FIND(",",TRIM(RIGHT(SUBSTITUTE(SUBSTITUTE(K72,".",""),"-",REPT(" ",50)),50)))+1,9)),0),"")))</f>
        <v/>
      </c>
      <c r="I83" s="49" t="str">
        <f aca="false">IF(OR(E83="",G83=""),"",G83-E83)</f>
        <v/>
      </c>
      <c r="J83" s="50" t="str">
        <f aca="false">IF(OR(E83="",G83="",E83=0),"",(G83-E83)/E83)</f>
        <v/>
      </c>
      <c r="K83" s="18" t="str">
        <f aca="false">IF(I83="","",IF(I83&gt;0,"▲ Progresa",IF(I83=0,"■ Estable","▼ Revisar")))</f>
        <v/>
      </c>
      <c r="L83" s="18"/>
      <c r="M83" s="18"/>
    </row>
    <row r="84" customFormat="false" ht="18" hidden="false" customHeight="true" outlineLevel="0" collapsed="false">
      <c r="B84" s="12" t="n">
        <v>7</v>
      </c>
      <c r="C84" s="44" t="str">
        <f aca="false">IF(D16="","",D16)</f>
        <v/>
      </c>
      <c r="D84" s="44"/>
      <c r="E84" s="45" t="str">
        <f aca="false">IF(K34="","",IF(ISNUMBER(K34),K34,IFERROR(IFERROR(LEFT(TRIM(RIGHT(SUBSTITUTE(SUBSTITUTE(K34,".",""),"-",REPT(" ",50)),50)),FIND(",",TRIM(RIGHT(SUBSTITUTE(SUBSTITUTE(K34,".",""),"-",REPT(" ",50)),50)))-1)*1,TRIM(RIGHT(SUBSTITUTE(SUBSTITUTE(K34,".",""),"-",REPT(" ",50)),50))*1)+IFERROR(MID(TRIM(RIGHT(SUBSTITUTE(SUBSTITUTE(K34,".",""),"-",REPT(" ",50)),50)),FIND(",",TRIM(RIGHT(SUBSTITUTE(SUBSTITUTE(K34,".",""),"-",REPT(" ",50)),50)))+1,9)/10^LEN(MID(TRIM(RIGHT(SUBSTITUTE(SUBSTITUTE(K34,".",""),"-",REPT(" ",50)),50)),FIND(",",TRIM(RIGHT(SUBSTITUTE(SUBSTITUTE(K34,".",""),"-",REPT(" ",50)),50)))+1,9)),0),"")))</f>
        <v/>
      </c>
      <c r="F84" s="45" t="str">
        <f aca="false">IF(K47="","",IF(ISNUMBER(K47),K47,IFERROR(IFERROR(LEFT(TRIM(RIGHT(SUBSTITUTE(SUBSTITUTE(K47,".",""),"-",REPT(" ",50)),50)),FIND(",",TRIM(RIGHT(SUBSTITUTE(SUBSTITUTE(K47,".",""),"-",REPT(" ",50)),50)))-1)*1,TRIM(RIGHT(SUBSTITUTE(SUBSTITUTE(K47,".",""),"-",REPT(" ",50)),50))*1)+IFERROR(MID(TRIM(RIGHT(SUBSTITUTE(SUBSTITUTE(K47,".",""),"-",REPT(" ",50)),50)),FIND(",",TRIM(RIGHT(SUBSTITUTE(SUBSTITUTE(K47,".",""),"-",REPT(" ",50)),50)))+1,9)/10^LEN(MID(TRIM(RIGHT(SUBSTITUTE(SUBSTITUTE(K47,".",""),"-",REPT(" ",50)),50)),FIND(",",TRIM(RIGHT(SUBSTITUTE(SUBSTITUTE(K47,".",""),"-",REPT(" ",50)),50)))+1,9)),0),"")))</f>
        <v/>
      </c>
      <c r="G84" s="45" t="str">
        <f aca="false">IF(K60="","",IF(ISNUMBER(K60),K60,IFERROR(IFERROR(LEFT(TRIM(RIGHT(SUBSTITUTE(SUBSTITUTE(K60,".",""),"-",REPT(" ",50)),50)),FIND(",",TRIM(RIGHT(SUBSTITUTE(SUBSTITUTE(K60,".",""),"-",REPT(" ",50)),50)))-1)*1,TRIM(RIGHT(SUBSTITUTE(SUBSTITUTE(K60,".",""),"-",REPT(" ",50)),50))*1)+IFERROR(MID(TRIM(RIGHT(SUBSTITUTE(SUBSTITUTE(K60,".",""),"-",REPT(" ",50)),50)),FIND(",",TRIM(RIGHT(SUBSTITUTE(SUBSTITUTE(K60,".",""),"-",REPT(" ",50)),50)))+1,9)/10^LEN(MID(TRIM(RIGHT(SUBSTITUTE(SUBSTITUTE(K60,".",""),"-",REPT(" ",50)),50)),FIND(",",TRIM(RIGHT(SUBSTITUTE(SUBSTITUTE(K60,".",""),"-",REPT(" ",50)),50)))+1,9)),0),"")))</f>
        <v/>
      </c>
      <c r="H84" s="45" t="str">
        <f aca="false">IF(K73="","",IF(ISNUMBER(K73),K73,IFERROR(IFERROR(LEFT(TRIM(RIGHT(SUBSTITUTE(SUBSTITUTE(K73,".",""),"-",REPT(" ",50)),50)),FIND(",",TRIM(RIGHT(SUBSTITUTE(SUBSTITUTE(K73,".",""),"-",REPT(" ",50)),50)))-1)*1,TRIM(RIGHT(SUBSTITUTE(SUBSTITUTE(K73,".",""),"-",REPT(" ",50)),50))*1)+IFERROR(MID(TRIM(RIGHT(SUBSTITUTE(SUBSTITUTE(K73,".",""),"-",REPT(" ",50)),50)),FIND(",",TRIM(RIGHT(SUBSTITUTE(SUBSTITUTE(K73,".",""),"-",REPT(" ",50)),50)))+1,9)/10^LEN(MID(TRIM(RIGHT(SUBSTITUTE(SUBSTITUTE(K73,".",""),"-",REPT(" ",50)),50)),FIND(",",TRIM(RIGHT(SUBSTITUTE(SUBSTITUTE(K73,".",""),"-",REPT(" ",50)),50)))+1,9)),0),"")))</f>
        <v/>
      </c>
      <c r="I84" s="46" t="str">
        <f aca="false">IF(OR(E84="",G84=""),"",G84-E84)</f>
        <v/>
      </c>
      <c r="J84" s="47" t="str">
        <f aca="false">IF(OR(E84="",G84="",E84=0),"",(G84-E84)/E84)</f>
        <v/>
      </c>
      <c r="K84" s="13" t="str">
        <f aca="false">IF(I84="","",IF(I84&gt;0,"▲ Progresa",IF(I84=0,"■ Estable","▼ Revisar")))</f>
        <v/>
      </c>
      <c r="L84" s="13"/>
      <c r="M84" s="13"/>
    </row>
    <row r="85" customFormat="false" ht="18" hidden="false" customHeight="true" outlineLevel="0" collapsed="false">
      <c r="B85" s="17" t="n">
        <v>8</v>
      </c>
      <c r="C85" s="39" t="str">
        <f aca="false">IF(D17="","",D17)</f>
        <v/>
      </c>
      <c r="D85" s="39"/>
      <c r="E85" s="48" t="str">
        <f aca="false">IF(K35="","",IF(ISNUMBER(K35),K35,IFERROR(IFERROR(LEFT(TRIM(RIGHT(SUBSTITUTE(SUBSTITUTE(K35,".",""),"-",REPT(" ",50)),50)),FIND(",",TRIM(RIGHT(SUBSTITUTE(SUBSTITUTE(K35,".",""),"-",REPT(" ",50)),50)))-1)*1,TRIM(RIGHT(SUBSTITUTE(SUBSTITUTE(K35,".",""),"-",REPT(" ",50)),50))*1)+IFERROR(MID(TRIM(RIGHT(SUBSTITUTE(SUBSTITUTE(K35,".",""),"-",REPT(" ",50)),50)),FIND(",",TRIM(RIGHT(SUBSTITUTE(SUBSTITUTE(K35,".",""),"-",REPT(" ",50)),50)))+1,9)/10^LEN(MID(TRIM(RIGHT(SUBSTITUTE(SUBSTITUTE(K35,".",""),"-",REPT(" ",50)),50)),FIND(",",TRIM(RIGHT(SUBSTITUTE(SUBSTITUTE(K35,".",""),"-",REPT(" ",50)),50)))+1,9)),0),"")))</f>
        <v/>
      </c>
      <c r="F85" s="48" t="str">
        <f aca="false">IF(K48="","",IF(ISNUMBER(K48),K48,IFERROR(IFERROR(LEFT(TRIM(RIGHT(SUBSTITUTE(SUBSTITUTE(K48,".",""),"-",REPT(" ",50)),50)),FIND(",",TRIM(RIGHT(SUBSTITUTE(SUBSTITUTE(K48,".",""),"-",REPT(" ",50)),50)))-1)*1,TRIM(RIGHT(SUBSTITUTE(SUBSTITUTE(K48,".",""),"-",REPT(" ",50)),50))*1)+IFERROR(MID(TRIM(RIGHT(SUBSTITUTE(SUBSTITUTE(K48,".",""),"-",REPT(" ",50)),50)),FIND(",",TRIM(RIGHT(SUBSTITUTE(SUBSTITUTE(K48,".",""),"-",REPT(" ",50)),50)))+1,9)/10^LEN(MID(TRIM(RIGHT(SUBSTITUTE(SUBSTITUTE(K48,".",""),"-",REPT(" ",50)),50)),FIND(",",TRIM(RIGHT(SUBSTITUTE(SUBSTITUTE(K48,".",""),"-",REPT(" ",50)),50)))+1,9)),0),"")))</f>
        <v/>
      </c>
      <c r="G85" s="48" t="str">
        <f aca="false">IF(K61="","",IF(ISNUMBER(K61),K61,IFERROR(IFERROR(LEFT(TRIM(RIGHT(SUBSTITUTE(SUBSTITUTE(K61,".",""),"-",REPT(" ",50)),50)),FIND(",",TRIM(RIGHT(SUBSTITUTE(SUBSTITUTE(K61,".",""),"-",REPT(" ",50)),50)))-1)*1,TRIM(RIGHT(SUBSTITUTE(SUBSTITUTE(K61,".",""),"-",REPT(" ",50)),50))*1)+IFERROR(MID(TRIM(RIGHT(SUBSTITUTE(SUBSTITUTE(K61,".",""),"-",REPT(" ",50)),50)),FIND(",",TRIM(RIGHT(SUBSTITUTE(SUBSTITUTE(K61,".",""),"-",REPT(" ",50)),50)))+1,9)/10^LEN(MID(TRIM(RIGHT(SUBSTITUTE(SUBSTITUTE(K61,".",""),"-",REPT(" ",50)),50)),FIND(",",TRIM(RIGHT(SUBSTITUTE(SUBSTITUTE(K61,".",""),"-",REPT(" ",50)),50)))+1,9)),0),"")))</f>
        <v/>
      </c>
      <c r="H85" s="48" t="str">
        <f aca="false">IF(K74="","",IF(ISNUMBER(K74),K74,IFERROR(IFERROR(LEFT(TRIM(RIGHT(SUBSTITUTE(SUBSTITUTE(K74,".",""),"-",REPT(" ",50)),50)),FIND(",",TRIM(RIGHT(SUBSTITUTE(SUBSTITUTE(K74,".",""),"-",REPT(" ",50)),50)))-1)*1,TRIM(RIGHT(SUBSTITUTE(SUBSTITUTE(K74,".",""),"-",REPT(" ",50)),50))*1)+IFERROR(MID(TRIM(RIGHT(SUBSTITUTE(SUBSTITUTE(K74,".",""),"-",REPT(" ",50)),50)),FIND(",",TRIM(RIGHT(SUBSTITUTE(SUBSTITUTE(K74,".",""),"-",REPT(" ",50)),50)))+1,9)/10^LEN(MID(TRIM(RIGHT(SUBSTITUTE(SUBSTITUTE(K74,".",""),"-",REPT(" ",50)),50)),FIND(",",TRIM(RIGHT(SUBSTITUTE(SUBSTITUTE(K74,".",""),"-",REPT(" ",50)),50)))+1,9)),0),"")))</f>
        <v/>
      </c>
      <c r="I85" s="49" t="str">
        <f aca="false">IF(OR(E85="",G85=""),"",G85-E85)</f>
        <v/>
      </c>
      <c r="J85" s="50" t="str">
        <f aca="false">IF(OR(E85="",G85="",E85=0),"",(G85-E85)/E85)</f>
        <v/>
      </c>
      <c r="K85" s="18" t="str">
        <f aca="false">IF(I85="","",IF(I85&gt;0,"▲ Progresa",IF(I85=0,"■ Estable","▼ Revisar")))</f>
        <v/>
      </c>
      <c r="L85" s="18"/>
      <c r="M85" s="18"/>
    </row>
    <row r="86" customFormat="false" ht="15" hidden="false" customHeight="true" outlineLevel="0" collapsed="false">
      <c r="B86" s="51" t="s">
        <v>95</v>
      </c>
    </row>
    <row r="88" customFormat="false" ht="19.5" hidden="false" customHeight="true" outlineLevel="0" collapsed="false">
      <c r="B88" s="52" t="s">
        <v>96</v>
      </c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</row>
    <row r="89" customFormat="false" ht="18" hidden="false" customHeight="true" outlineLevel="0" collapsed="false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</row>
    <row r="90" customFormat="false" ht="18" hidden="false" customHeight="true" outlineLevel="0" collapsed="false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</row>
    <row r="91" customFormat="false" ht="18" hidden="false" customHeight="true" outlineLevel="0" collapsed="false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</row>
    <row r="93" customFormat="false" ht="19.5" hidden="false" customHeight="true" outlineLevel="0" collapsed="false">
      <c r="B93" s="53" t="s">
        <v>97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customFormat="false" ht="18" hidden="false" customHeight="true" outlineLevel="0" collapsed="false"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</row>
    <row r="95" customFormat="false" ht="18" hidden="false" customHeight="true" outlineLevel="0" collapsed="false"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</row>
    <row r="96" customFormat="false" ht="18" hidden="false" customHeight="true" outlineLevel="0" collapsed="false"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</row>
    <row r="98" customFormat="false" ht="19.5" hidden="false" customHeight="true" outlineLevel="0" collapsed="false">
      <c r="B98" s="4" t="s">
        <v>98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customFormat="false" ht="18" hidden="false" customHeight="true" outlineLevel="0" collapsed="false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</row>
    <row r="100" customFormat="false" ht="18" hidden="false" customHeight="true" outlineLevel="0" collapsed="false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 customFormat="false" ht="18" hidden="false" customHeight="true" outlineLevel="0" collapsed="false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</row>
  </sheetData>
  <mergeCells count="111">
    <mergeCell ref="B2:M2"/>
    <mergeCell ref="B3:M3"/>
    <mergeCell ref="C5:D5"/>
    <mergeCell ref="F5:I5"/>
    <mergeCell ref="K5:M5"/>
    <mergeCell ref="B6:M6"/>
    <mergeCell ref="B8:M8"/>
    <mergeCell ref="H9:L9"/>
    <mergeCell ref="H10:L10"/>
    <mergeCell ref="H11:L11"/>
    <mergeCell ref="H12:L12"/>
    <mergeCell ref="H13:L13"/>
    <mergeCell ref="H14:L14"/>
    <mergeCell ref="H15:L15"/>
    <mergeCell ref="H16:L16"/>
    <mergeCell ref="H17:L17"/>
    <mergeCell ref="B19:M19"/>
    <mergeCell ref="B20:M20"/>
    <mergeCell ref="B21:M21"/>
    <mergeCell ref="B22:M22"/>
    <mergeCell ref="B24:M24"/>
    <mergeCell ref="B25:C25"/>
    <mergeCell ref="E25:F25"/>
    <mergeCell ref="H25:J25"/>
    <mergeCell ref="E26:H26"/>
    <mergeCell ref="I26:L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B37:M37"/>
    <mergeCell ref="B38:C38"/>
    <mergeCell ref="E38:F38"/>
    <mergeCell ref="H38:J38"/>
    <mergeCell ref="E39:H39"/>
    <mergeCell ref="I39:L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B50:M50"/>
    <mergeCell ref="B51:C51"/>
    <mergeCell ref="E51:F51"/>
    <mergeCell ref="H51:J51"/>
    <mergeCell ref="E52:H52"/>
    <mergeCell ref="I52:L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B63:M63"/>
    <mergeCell ref="B64:C64"/>
    <mergeCell ref="E64:F64"/>
    <mergeCell ref="H64:J64"/>
    <mergeCell ref="E65:H65"/>
    <mergeCell ref="I65:L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B76:M76"/>
    <mergeCell ref="C77:D77"/>
    <mergeCell ref="K77:M77"/>
    <mergeCell ref="C78:D78"/>
    <mergeCell ref="K78:M78"/>
    <mergeCell ref="C79:D79"/>
    <mergeCell ref="K79:M79"/>
    <mergeCell ref="C80:D80"/>
    <mergeCell ref="K80:M80"/>
    <mergeCell ref="C81:D81"/>
    <mergeCell ref="K81:M81"/>
    <mergeCell ref="C82:D82"/>
    <mergeCell ref="K82:M82"/>
    <mergeCell ref="C83:D83"/>
    <mergeCell ref="K83:M83"/>
    <mergeCell ref="C84:D84"/>
    <mergeCell ref="K84:M84"/>
    <mergeCell ref="C85:D85"/>
    <mergeCell ref="K85:M85"/>
    <mergeCell ref="B88:M88"/>
    <mergeCell ref="B89:M89"/>
    <mergeCell ref="B90:M90"/>
    <mergeCell ref="B91:M91"/>
    <mergeCell ref="B93:M93"/>
    <mergeCell ref="B94:M94"/>
    <mergeCell ref="B95:M95"/>
    <mergeCell ref="B96:M96"/>
    <mergeCell ref="B98:M98"/>
    <mergeCell ref="B99:M99"/>
    <mergeCell ref="B100:M100"/>
    <mergeCell ref="B101:M101"/>
  </mergeCells>
  <conditionalFormatting sqref="K78:K85">
    <cfRule type="expression" priority="2" aboveAverage="0" equalAverage="0" bottom="0" percent="0" rank="0" text="" dxfId="0">
      <formula>LEFT(K78,1)="▲"</formula>
    </cfRule>
    <cfRule type="expression" priority="3" aboveAverage="0" equalAverage="0" bottom="0" percent="0" rank="0" text="" dxfId="1">
      <formula>LEFT(K78,1)="▼"</formula>
    </cfRule>
  </conditionalFormatting>
  <dataValidations count="2">
    <dataValidation allowBlank="true" errorStyle="stop" operator="between" showDropDown="false" showErrorMessage="false" showInputMessage="false" sqref="D10:D17" type="list">
      <formula1>Biblioteca!$C$6:$C$150</formula1>
      <formula2>0</formula2>
    </dataValidation>
    <dataValidation allowBlank="true" errorStyle="stop" operator="between" showDropDown="false" showErrorMessage="false" showInputMessage="false" sqref="E10:E17" type="list">
      <formula1>"Pecho,Espalda,Hombro,Bíceps,Tríceps,Cuádriceps,Isquios,Glúteo,Gemelo,Core,Full body,Cardio"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Tactical Biscuit Training  ·  Página &amp;P de &amp;N</oddFooter>
  </headerFooter>
  <rowBreaks count="2" manualBreakCount="2">
    <brk id="36" man="true" max="16383" min="0"/>
    <brk id="62" man="true" max="16383" min="0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5"/>
    <col collapsed="false" customWidth="true" hidden="false" outlineLevel="0" max="3" min="3" style="1" width="14"/>
    <col collapsed="false" customWidth="true" hidden="false" outlineLevel="0" max="4" min="4" style="1" width="26"/>
    <col collapsed="false" customWidth="true" hidden="false" outlineLevel="0" max="5" min="5" style="1" width="11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12" min="8" style="1" width="10"/>
    <col collapsed="false" customWidth="true" hidden="false" outlineLevel="0" max="13" min="13" style="1" width="26"/>
  </cols>
  <sheetData>
    <row r="2" customFormat="false" ht="36" hidden="false" customHeight="true" outlineLevel="0" collapsed="false">
      <c r="B2" s="2" t="s">
        <v>100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9.5" hidden="false" customHeight="true" outlineLevel="0" collapsed="false">
      <c r="B3" s="3" t="s">
        <v>61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21.75" hidden="false" customHeight="true" outlineLevel="0" collapsed="false">
      <c r="B5" s="26" t="s">
        <v>3</v>
      </c>
      <c r="C5" s="27" t="str">
        <f aca="false">IF(Resumen!C6="","",Resumen!C6)</f>
        <v/>
      </c>
      <c r="D5" s="27"/>
      <c r="E5" s="26" t="s">
        <v>62</v>
      </c>
      <c r="F5" s="27" t="str">
        <f aca="false">IF(Resumen!D24="","",Resumen!D24)</f>
        <v/>
      </c>
      <c r="G5" s="27"/>
      <c r="H5" s="27"/>
      <c r="I5" s="27"/>
      <c r="J5" s="26" t="s">
        <v>63</v>
      </c>
      <c r="K5" s="27" t="str">
        <f aca="false">IF(Resumen!C24="","",Resumen!C24)</f>
        <v/>
      </c>
      <c r="L5" s="27"/>
      <c r="M5" s="27"/>
    </row>
    <row r="6" customFormat="false" ht="15" hidden="false" customHeight="true" outlineLevel="0" collapsed="false">
      <c r="B6" s="28" t="s">
        <v>64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</row>
    <row r="8" customFormat="false" ht="19.5" hidden="false" customHeight="true" outlineLevel="0" collapsed="false">
      <c r="B8" s="4" t="s">
        <v>65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24" hidden="false" customHeight="true" outlineLevel="0" collapsed="false">
      <c r="B9" s="11" t="s">
        <v>66</v>
      </c>
      <c r="C9" s="11" t="s">
        <v>67</v>
      </c>
      <c r="D9" s="11" t="s">
        <v>68</v>
      </c>
      <c r="E9" s="11" t="s">
        <v>69</v>
      </c>
      <c r="F9" s="11" t="s">
        <v>70</v>
      </c>
      <c r="G9" s="11" t="s">
        <v>71</v>
      </c>
      <c r="H9" s="11" t="s">
        <v>72</v>
      </c>
      <c r="I9" s="11"/>
      <c r="J9" s="11"/>
      <c r="K9" s="11"/>
      <c r="L9" s="11"/>
      <c r="M9" s="11" t="s">
        <v>73</v>
      </c>
    </row>
    <row r="10" customFormat="false" ht="43.5" hidden="false" customHeight="true" outlineLevel="0" collapsed="false">
      <c r="B10" s="17" t="n">
        <v>1</v>
      </c>
      <c r="C10" s="29" t="s">
        <v>74</v>
      </c>
      <c r="D10" s="6"/>
      <c r="E10" s="14"/>
      <c r="F10" s="14"/>
      <c r="G10" s="14"/>
      <c r="H10" s="16"/>
      <c r="I10" s="16"/>
      <c r="J10" s="16"/>
      <c r="K10" s="16"/>
      <c r="L10" s="16"/>
      <c r="M10" s="30" t="str">
        <f aca="false">IF(D10="","",HYPERLINK(IF(IFERROR(INDEX(Biblioteca!$E$6:$E$150,MATCH(D10,Biblioteca!$C$6:$C$150,0))&amp;"","")&lt;&gt;"",IFERROR(INDEX(Biblioteca!$E$6:$E$150,MATCH(D10,Biblioteca!$C$6:$C$150,0))&amp;"",""),"https://www.youtube.com/results?search_query="&amp;SUBSTITUTE(TRIM(D10)," ","+")&amp;"+técnica"),IF(IFERROR(INDEX(Biblioteca!$E$6:$E$150,MATCH(D10,Biblioteca!$C$6:$C$150,0))&amp;"","")&lt;&gt;"","▶ Mi vídeo","▶ Ver vídeo")))</f>
        <v/>
      </c>
    </row>
    <row r="11" customFormat="false" ht="43.5" hidden="false" customHeight="true" outlineLevel="0" collapsed="false">
      <c r="B11" s="17" t="n">
        <v>2</v>
      </c>
      <c r="C11" s="29" t="s">
        <v>74</v>
      </c>
      <c r="D11" s="6"/>
      <c r="E11" s="14"/>
      <c r="F11" s="14"/>
      <c r="G11" s="14"/>
      <c r="H11" s="16"/>
      <c r="I11" s="16"/>
      <c r="J11" s="16"/>
      <c r="K11" s="16"/>
      <c r="L11" s="16"/>
      <c r="M11" s="30" t="str">
        <f aca="false">IF(D11="","",HYPERLINK(IF(IFERROR(INDEX(Biblioteca!$E$6:$E$150,MATCH(D11,Biblioteca!$C$6:$C$150,0))&amp;"","")&lt;&gt;"",IFERROR(INDEX(Biblioteca!$E$6:$E$150,MATCH(D11,Biblioteca!$C$6:$C$150,0))&amp;"",""),"https://www.youtube.com/results?search_query="&amp;SUBSTITUTE(TRIM(D11)," ","+")&amp;"+técnica"),IF(IFERROR(INDEX(Biblioteca!$E$6:$E$150,MATCH(D11,Biblioteca!$C$6:$C$150,0))&amp;"","")&lt;&gt;"","▶ Mi vídeo","▶ Ver vídeo")))</f>
        <v/>
      </c>
    </row>
    <row r="12" customFormat="false" ht="43.5" hidden="false" customHeight="true" outlineLevel="0" collapsed="false">
      <c r="B12" s="17" t="n">
        <v>3</v>
      </c>
      <c r="C12" s="29" t="s">
        <v>74</v>
      </c>
      <c r="D12" s="6"/>
      <c r="E12" s="14"/>
      <c r="F12" s="14"/>
      <c r="G12" s="14"/>
      <c r="H12" s="16"/>
      <c r="I12" s="16"/>
      <c r="J12" s="16"/>
      <c r="K12" s="16"/>
      <c r="L12" s="16"/>
      <c r="M12" s="30" t="str">
        <f aca="false">IF(D12="","",HYPERLINK(IF(IFERROR(INDEX(Biblioteca!$E$6:$E$150,MATCH(D12,Biblioteca!$C$6:$C$150,0))&amp;"","")&lt;&gt;"",IFERROR(INDEX(Biblioteca!$E$6:$E$150,MATCH(D12,Biblioteca!$C$6:$C$150,0))&amp;"",""),"https://www.youtube.com/results?search_query="&amp;SUBSTITUTE(TRIM(D12)," ","+")&amp;"+técnica"),IF(IFERROR(INDEX(Biblioteca!$E$6:$E$150,MATCH(D12,Biblioteca!$C$6:$C$150,0))&amp;"","")&lt;&gt;"","▶ Mi vídeo","▶ Ver vídeo")))</f>
        <v/>
      </c>
    </row>
    <row r="13" customFormat="false" ht="43.5" hidden="false" customHeight="true" outlineLevel="0" collapsed="false">
      <c r="B13" s="17" t="n">
        <v>4</v>
      </c>
      <c r="C13" s="29" t="s">
        <v>74</v>
      </c>
      <c r="D13" s="6"/>
      <c r="E13" s="14"/>
      <c r="F13" s="14"/>
      <c r="G13" s="14"/>
      <c r="H13" s="16"/>
      <c r="I13" s="16"/>
      <c r="J13" s="16"/>
      <c r="K13" s="16"/>
      <c r="L13" s="16"/>
      <c r="M13" s="30" t="str">
        <f aca="false">IF(D13="","",HYPERLINK(IF(IFERROR(INDEX(Biblioteca!$E$6:$E$150,MATCH(D13,Biblioteca!$C$6:$C$150,0))&amp;"","")&lt;&gt;"",IFERROR(INDEX(Biblioteca!$E$6:$E$150,MATCH(D13,Biblioteca!$C$6:$C$150,0))&amp;"",""),"https://www.youtube.com/results?search_query="&amp;SUBSTITUTE(TRIM(D13)," ","+")&amp;"+técnica"),IF(IFERROR(INDEX(Biblioteca!$E$6:$E$150,MATCH(D13,Biblioteca!$C$6:$C$150,0))&amp;"","")&lt;&gt;"","▶ Mi vídeo","▶ Ver vídeo")))</f>
        <v/>
      </c>
    </row>
    <row r="14" customFormat="false" ht="43.5" hidden="false" customHeight="true" outlineLevel="0" collapsed="false">
      <c r="B14" s="17" t="n">
        <v>5</v>
      </c>
      <c r="C14" s="29" t="s">
        <v>74</v>
      </c>
      <c r="D14" s="6"/>
      <c r="E14" s="14"/>
      <c r="F14" s="14"/>
      <c r="G14" s="14"/>
      <c r="H14" s="16"/>
      <c r="I14" s="16"/>
      <c r="J14" s="16"/>
      <c r="K14" s="16"/>
      <c r="L14" s="16"/>
      <c r="M14" s="30" t="str">
        <f aca="false">IF(D14="","",HYPERLINK(IF(IFERROR(INDEX(Biblioteca!$E$6:$E$150,MATCH(D14,Biblioteca!$C$6:$C$150,0))&amp;"","")&lt;&gt;"",IFERROR(INDEX(Biblioteca!$E$6:$E$150,MATCH(D14,Biblioteca!$C$6:$C$150,0))&amp;"",""),"https://www.youtube.com/results?search_query="&amp;SUBSTITUTE(TRIM(D14)," ","+")&amp;"+técnica"),IF(IFERROR(INDEX(Biblioteca!$E$6:$E$150,MATCH(D14,Biblioteca!$C$6:$C$150,0))&amp;"","")&lt;&gt;"","▶ Mi vídeo","▶ Ver vídeo")))</f>
        <v/>
      </c>
    </row>
    <row r="15" customFormat="false" ht="43.5" hidden="false" customHeight="true" outlineLevel="0" collapsed="false">
      <c r="B15" s="17" t="n">
        <v>6</v>
      </c>
      <c r="C15" s="29" t="s">
        <v>74</v>
      </c>
      <c r="D15" s="6"/>
      <c r="E15" s="14"/>
      <c r="F15" s="14"/>
      <c r="G15" s="14"/>
      <c r="H15" s="16"/>
      <c r="I15" s="16"/>
      <c r="J15" s="16"/>
      <c r="K15" s="16"/>
      <c r="L15" s="16"/>
      <c r="M15" s="30" t="str">
        <f aca="false">IF(D15="","",HYPERLINK(IF(IFERROR(INDEX(Biblioteca!$E$6:$E$150,MATCH(D15,Biblioteca!$C$6:$C$150,0))&amp;"","")&lt;&gt;"",IFERROR(INDEX(Biblioteca!$E$6:$E$150,MATCH(D15,Biblioteca!$C$6:$C$150,0))&amp;"",""),"https://www.youtube.com/results?search_query="&amp;SUBSTITUTE(TRIM(D15)," ","+")&amp;"+técnica"),IF(IFERROR(INDEX(Biblioteca!$E$6:$E$150,MATCH(D15,Biblioteca!$C$6:$C$150,0))&amp;"","")&lt;&gt;"","▶ Mi vídeo","▶ Ver vídeo")))</f>
        <v/>
      </c>
    </row>
    <row r="16" customFormat="false" ht="43.5" hidden="false" customHeight="true" outlineLevel="0" collapsed="false">
      <c r="B16" s="17" t="n">
        <v>7</v>
      </c>
      <c r="C16" s="29" t="s">
        <v>74</v>
      </c>
      <c r="D16" s="6"/>
      <c r="E16" s="14"/>
      <c r="F16" s="14"/>
      <c r="G16" s="14"/>
      <c r="H16" s="16"/>
      <c r="I16" s="16"/>
      <c r="J16" s="16"/>
      <c r="K16" s="16"/>
      <c r="L16" s="16"/>
      <c r="M16" s="30" t="str">
        <f aca="false">IF(D16="","",HYPERLINK(IF(IFERROR(INDEX(Biblioteca!$E$6:$E$150,MATCH(D16,Biblioteca!$C$6:$C$150,0))&amp;"","")&lt;&gt;"",IFERROR(INDEX(Biblioteca!$E$6:$E$150,MATCH(D16,Biblioteca!$C$6:$C$150,0))&amp;"",""),"https://www.youtube.com/results?search_query="&amp;SUBSTITUTE(TRIM(D16)," ","+")&amp;"+técnica"),IF(IFERROR(INDEX(Biblioteca!$E$6:$E$150,MATCH(D16,Biblioteca!$C$6:$C$150,0))&amp;"","")&lt;&gt;"","▶ Mi vídeo","▶ Ver vídeo")))</f>
        <v/>
      </c>
    </row>
    <row r="17" customFormat="false" ht="43.5" hidden="false" customHeight="true" outlineLevel="0" collapsed="false">
      <c r="B17" s="17" t="n">
        <v>8</v>
      </c>
      <c r="C17" s="29" t="s">
        <v>74</v>
      </c>
      <c r="D17" s="6"/>
      <c r="E17" s="14"/>
      <c r="F17" s="14"/>
      <c r="G17" s="14"/>
      <c r="H17" s="16"/>
      <c r="I17" s="16"/>
      <c r="J17" s="16"/>
      <c r="K17" s="16"/>
      <c r="L17" s="16"/>
      <c r="M17" s="30" t="str">
        <f aca="false">IF(D17="","",HYPERLINK(IF(IFERROR(INDEX(Biblioteca!$E$6:$E$150,MATCH(D17,Biblioteca!$C$6:$C$150,0))&amp;"","")&lt;&gt;"",IFERROR(INDEX(Biblioteca!$E$6:$E$150,MATCH(D17,Biblioteca!$C$6:$C$150,0))&amp;"",""),"https://www.youtube.com/results?search_query="&amp;SUBSTITUTE(TRIM(D17)," ","+")&amp;"+técnica"),IF(IFERROR(INDEX(Biblioteca!$E$6:$E$150,MATCH(D17,Biblioteca!$C$6:$C$150,0))&amp;"","")&lt;&gt;"","▶ Mi vídeo","▶ Ver vídeo")))</f>
        <v/>
      </c>
    </row>
    <row r="19" customFormat="false" ht="19.5" hidden="false" customHeight="true" outlineLevel="0" collapsed="false">
      <c r="B19" s="31" t="s">
        <v>75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customFormat="false" ht="18" hidden="false" customHeight="true" outlineLevel="0" collapsed="false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customFormat="false" ht="18" hidden="false" customHeight="true" outlineLevel="0" collapsed="false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customFormat="false" ht="18" hidden="false" customHeight="true" outlineLevel="0" collapsed="false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4" customFormat="false" ht="21.75" hidden="false" customHeight="true" outlineLevel="0" collapsed="false">
      <c r="B24" s="4" t="str">
        <f aca="false">"SEMANA 1  ·  "&amp;UPPER(Resumen!D15)&amp;"  ·  RIR objetivo "&amp;Resumen!E15&amp;IF(Resumen!C15="","","  ·  "&amp;Resumen!C15)</f>
        <v>SEMANA 1  ·  ADAPTACIÓN  ·  RIR objetivo 3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customFormat="false" ht="19.5" hidden="false" customHeight="true" outlineLevel="0" collapsed="false">
      <c r="B25" s="32" t="s">
        <v>76</v>
      </c>
      <c r="C25" s="32"/>
      <c r="D25" s="33"/>
      <c r="E25" s="32" t="s">
        <v>77</v>
      </c>
      <c r="F25" s="32"/>
      <c r="G25" s="34"/>
      <c r="H25" s="32" t="s">
        <v>78</v>
      </c>
      <c r="I25" s="32"/>
      <c r="J25" s="32"/>
      <c r="K25" s="34"/>
    </row>
    <row r="26" customFormat="false" ht="15" hidden="false" customHeight="true" outlineLevel="0" collapsed="false">
      <c r="E26" s="35" t="s">
        <v>79</v>
      </c>
      <c r="F26" s="35"/>
      <c r="G26" s="35"/>
      <c r="H26" s="35"/>
      <c r="I26" s="36" t="s">
        <v>80</v>
      </c>
      <c r="J26" s="36"/>
      <c r="K26" s="36"/>
      <c r="L26" s="36"/>
    </row>
    <row r="27" customFormat="false" ht="19.5" hidden="false" customHeight="true" outlineLevel="0" collapsed="false">
      <c r="B27" s="37" t="s">
        <v>66</v>
      </c>
      <c r="C27" s="37" t="s">
        <v>68</v>
      </c>
      <c r="D27" s="37"/>
      <c r="E27" s="37" t="s">
        <v>81</v>
      </c>
      <c r="F27" s="37" t="s">
        <v>82</v>
      </c>
      <c r="G27" s="37" t="s">
        <v>83</v>
      </c>
      <c r="H27" s="37" t="s">
        <v>84</v>
      </c>
      <c r="I27" s="38" t="s">
        <v>81</v>
      </c>
      <c r="J27" s="38" t="s">
        <v>82</v>
      </c>
      <c r="K27" s="38" t="s">
        <v>85</v>
      </c>
      <c r="L27" s="38" t="s">
        <v>51</v>
      </c>
      <c r="M27" s="37" t="s">
        <v>86</v>
      </c>
    </row>
    <row r="28" customFormat="false" ht="19.5" hidden="false" customHeight="true" outlineLevel="0" collapsed="false">
      <c r="B28" s="17" t="n">
        <v>1</v>
      </c>
      <c r="C28" s="39" t="str">
        <f aca="false">IF(D10="","",D10)</f>
        <v/>
      </c>
      <c r="D28" s="39"/>
      <c r="E28" s="14"/>
      <c r="F28" s="14"/>
      <c r="G28" s="40"/>
      <c r="H28" s="14" t="str">
        <f aca="false">IF($C28="","",Resumen!$E$15)</f>
        <v/>
      </c>
      <c r="I28" s="34"/>
      <c r="J28" s="41"/>
      <c r="K28" s="41"/>
      <c r="L28" s="34"/>
      <c r="M28" s="42"/>
    </row>
    <row r="29" customFormat="false" ht="19.5" hidden="false" customHeight="true" outlineLevel="0" collapsed="false">
      <c r="B29" s="17" t="n">
        <v>2</v>
      </c>
      <c r="C29" s="39" t="str">
        <f aca="false">IF(D11="","",D11)</f>
        <v/>
      </c>
      <c r="D29" s="39"/>
      <c r="E29" s="14"/>
      <c r="F29" s="14"/>
      <c r="G29" s="40"/>
      <c r="H29" s="14" t="str">
        <f aca="false">IF($C29="","",Resumen!$E$15)</f>
        <v/>
      </c>
      <c r="I29" s="34"/>
      <c r="J29" s="41"/>
      <c r="K29" s="41"/>
      <c r="L29" s="34"/>
      <c r="M29" s="42"/>
    </row>
    <row r="30" customFormat="false" ht="19.5" hidden="false" customHeight="true" outlineLevel="0" collapsed="false">
      <c r="B30" s="17" t="n">
        <v>3</v>
      </c>
      <c r="C30" s="39" t="str">
        <f aca="false">IF(D12="","",D12)</f>
        <v/>
      </c>
      <c r="D30" s="39"/>
      <c r="E30" s="14"/>
      <c r="F30" s="14"/>
      <c r="G30" s="40"/>
      <c r="H30" s="14" t="str">
        <f aca="false">IF($C30="","",Resumen!$E$15)</f>
        <v/>
      </c>
      <c r="I30" s="34"/>
      <c r="J30" s="41"/>
      <c r="K30" s="41"/>
      <c r="L30" s="34"/>
      <c r="M30" s="42"/>
    </row>
    <row r="31" customFormat="false" ht="19.5" hidden="false" customHeight="true" outlineLevel="0" collapsed="false">
      <c r="B31" s="17" t="n">
        <v>4</v>
      </c>
      <c r="C31" s="39" t="str">
        <f aca="false">IF(D13="","",D13)</f>
        <v/>
      </c>
      <c r="D31" s="39"/>
      <c r="E31" s="14"/>
      <c r="F31" s="14"/>
      <c r="G31" s="40"/>
      <c r="H31" s="14" t="str">
        <f aca="false">IF($C31="","",Resumen!$E$15)</f>
        <v/>
      </c>
      <c r="I31" s="34"/>
      <c r="J31" s="41"/>
      <c r="K31" s="41"/>
      <c r="L31" s="34"/>
      <c r="M31" s="42"/>
    </row>
    <row r="32" customFormat="false" ht="19.5" hidden="false" customHeight="true" outlineLevel="0" collapsed="false">
      <c r="B32" s="17" t="n">
        <v>5</v>
      </c>
      <c r="C32" s="39" t="str">
        <f aca="false">IF(D14="","",D14)</f>
        <v/>
      </c>
      <c r="D32" s="39"/>
      <c r="E32" s="14"/>
      <c r="F32" s="14"/>
      <c r="G32" s="40"/>
      <c r="H32" s="14" t="str">
        <f aca="false">IF($C32="","",Resumen!$E$15)</f>
        <v/>
      </c>
      <c r="I32" s="34"/>
      <c r="J32" s="41"/>
      <c r="K32" s="41"/>
      <c r="L32" s="34"/>
      <c r="M32" s="42"/>
    </row>
    <row r="33" customFormat="false" ht="19.5" hidden="false" customHeight="true" outlineLevel="0" collapsed="false">
      <c r="B33" s="17" t="n">
        <v>6</v>
      </c>
      <c r="C33" s="39" t="str">
        <f aca="false">IF(D15="","",D15)</f>
        <v/>
      </c>
      <c r="D33" s="39"/>
      <c r="E33" s="14"/>
      <c r="F33" s="14"/>
      <c r="G33" s="40"/>
      <c r="H33" s="14" t="str">
        <f aca="false">IF($C33="","",Resumen!$E$15)</f>
        <v/>
      </c>
      <c r="I33" s="34"/>
      <c r="J33" s="41"/>
      <c r="K33" s="41"/>
      <c r="L33" s="34"/>
      <c r="M33" s="42"/>
    </row>
    <row r="34" customFormat="false" ht="19.5" hidden="false" customHeight="true" outlineLevel="0" collapsed="false">
      <c r="B34" s="17" t="n">
        <v>7</v>
      </c>
      <c r="C34" s="39" t="str">
        <f aca="false">IF(D16="","",D16)</f>
        <v/>
      </c>
      <c r="D34" s="39"/>
      <c r="E34" s="14"/>
      <c r="F34" s="14"/>
      <c r="G34" s="40"/>
      <c r="H34" s="14" t="str">
        <f aca="false">IF($C34="","",Resumen!$E$15)</f>
        <v/>
      </c>
      <c r="I34" s="34"/>
      <c r="J34" s="41"/>
      <c r="K34" s="41"/>
      <c r="L34" s="34"/>
      <c r="M34" s="42"/>
    </row>
    <row r="35" customFormat="false" ht="19.5" hidden="false" customHeight="true" outlineLevel="0" collapsed="false">
      <c r="B35" s="17" t="n">
        <v>8</v>
      </c>
      <c r="C35" s="39" t="str">
        <f aca="false">IF(D17="","",D17)</f>
        <v/>
      </c>
      <c r="D35" s="39"/>
      <c r="E35" s="14"/>
      <c r="F35" s="14"/>
      <c r="G35" s="40"/>
      <c r="H35" s="14" t="str">
        <f aca="false">IF($C35="","",Resumen!$E$15)</f>
        <v/>
      </c>
      <c r="I35" s="34"/>
      <c r="J35" s="41"/>
      <c r="K35" s="41"/>
      <c r="L35" s="34"/>
      <c r="M35" s="42"/>
    </row>
    <row r="37" customFormat="false" ht="21.75" hidden="false" customHeight="true" outlineLevel="0" collapsed="false">
      <c r="B37" s="4" t="str">
        <f aca="false">"SEMANA 2  ·  "&amp;UPPER(Resumen!D16)&amp;"  ·  RIR objetivo "&amp;Resumen!E16&amp;IF(Resumen!C16="","","  ·  "&amp;Resumen!C16)</f>
        <v>SEMANA 2  ·  PROGRESIÓN  ·  RIR objetivo 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customFormat="false" ht="19.5" hidden="false" customHeight="true" outlineLevel="0" collapsed="false">
      <c r="B38" s="32" t="s">
        <v>76</v>
      </c>
      <c r="C38" s="32"/>
      <c r="D38" s="33"/>
      <c r="E38" s="32" t="s">
        <v>77</v>
      </c>
      <c r="F38" s="32"/>
      <c r="G38" s="34"/>
      <c r="H38" s="32" t="s">
        <v>78</v>
      </c>
      <c r="I38" s="32"/>
      <c r="J38" s="32"/>
      <c r="K38" s="34"/>
    </row>
    <row r="39" customFormat="false" ht="15" hidden="false" customHeight="true" outlineLevel="0" collapsed="false">
      <c r="E39" s="35" t="s">
        <v>79</v>
      </c>
      <c r="F39" s="35"/>
      <c r="G39" s="35"/>
      <c r="H39" s="35"/>
      <c r="I39" s="36" t="s">
        <v>80</v>
      </c>
      <c r="J39" s="36"/>
      <c r="K39" s="36"/>
      <c r="L39" s="36"/>
    </row>
    <row r="40" customFormat="false" ht="19.5" hidden="false" customHeight="true" outlineLevel="0" collapsed="false">
      <c r="B40" s="37" t="s">
        <v>66</v>
      </c>
      <c r="C40" s="37" t="s">
        <v>68</v>
      </c>
      <c r="D40" s="37"/>
      <c r="E40" s="37" t="s">
        <v>81</v>
      </c>
      <c r="F40" s="37" t="s">
        <v>82</v>
      </c>
      <c r="G40" s="37" t="s">
        <v>83</v>
      </c>
      <c r="H40" s="37" t="s">
        <v>84</v>
      </c>
      <c r="I40" s="38" t="s">
        <v>81</v>
      </c>
      <c r="J40" s="38" t="s">
        <v>82</v>
      </c>
      <c r="K40" s="38" t="s">
        <v>85</v>
      </c>
      <c r="L40" s="38" t="s">
        <v>51</v>
      </c>
      <c r="M40" s="37" t="s">
        <v>86</v>
      </c>
    </row>
    <row r="41" customFormat="false" ht="19.5" hidden="false" customHeight="true" outlineLevel="0" collapsed="false">
      <c r="B41" s="17" t="n">
        <v>1</v>
      </c>
      <c r="C41" s="39" t="str">
        <f aca="false">IF(D10="","",D10)</f>
        <v/>
      </c>
      <c r="D41" s="39"/>
      <c r="E41" s="14" t="str">
        <f aca="false">IF(E28="","",E28)</f>
        <v/>
      </c>
      <c r="F41" s="14" t="str">
        <f aca="false">IF(F28="","",F28)</f>
        <v/>
      </c>
      <c r="G41" s="40"/>
      <c r="H41" s="14" t="str">
        <f aca="false">IF($C41="","",Resumen!$E$16)</f>
        <v/>
      </c>
      <c r="I41" s="34"/>
      <c r="J41" s="41"/>
      <c r="K41" s="41"/>
      <c r="L41" s="34"/>
      <c r="M41" s="42"/>
    </row>
    <row r="42" customFormat="false" ht="19.5" hidden="false" customHeight="true" outlineLevel="0" collapsed="false">
      <c r="B42" s="17" t="n">
        <v>2</v>
      </c>
      <c r="C42" s="39" t="str">
        <f aca="false">IF(D11="","",D11)</f>
        <v/>
      </c>
      <c r="D42" s="39"/>
      <c r="E42" s="14" t="str">
        <f aca="false">IF(E29="","",E29)</f>
        <v/>
      </c>
      <c r="F42" s="14" t="str">
        <f aca="false">IF(F29="","",F29)</f>
        <v/>
      </c>
      <c r="G42" s="40"/>
      <c r="H42" s="14" t="str">
        <f aca="false">IF($C42="","",Resumen!$E$16)</f>
        <v/>
      </c>
      <c r="I42" s="34"/>
      <c r="J42" s="41"/>
      <c r="K42" s="41"/>
      <c r="L42" s="34"/>
      <c r="M42" s="42"/>
    </row>
    <row r="43" customFormat="false" ht="19.5" hidden="false" customHeight="true" outlineLevel="0" collapsed="false">
      <c r="B43" s="17" t="n">
        <v>3</v>
      </c>
      <c r="C43" s="39" t="str">
        <f aca="false">IF(D12="","",D12)</f>
        <v/>
      </c>
      <c r="D43" s="39"/>
      <c r="E43" s="14" t="str">
        <f aca="false">IF(E30="","",E30)</f>
        <v/>
      </c>
      <c r="F43" s="14" t="str">
        <f aca="false">IF(F30="","",F30)</f>
        <v/>
      </c>
      <c r="G43" s="40"/>
      <c r="H43" s="14" t="str">
        <f aca="false">IF($C43="","",Resumen!$E$16)</f>
        <v/>
      </c>
      <c r="I43" s="34"/>
      <c r="J43" s="41"/>
      <c r="K43" s="41"/>
      <c r="L43" s="34"/>
      <c r="M43" s="42"/>
    </row>
    <row r="44" customFormat="false" ht="19.5" hidden="false" customHeight="true" outlineLevel="0" collapsed="false">
      <c r="B44" s="17" t="n">
        <v>4</v>
      </c>
      <c r="C44" s="39" t="str">
        <f aca="false">IF(D13="","",D13)</f>
        <v/>
      </c>
      <c r="D44" s="39"/>
      <c r="E44" s="14" t="str">
        <f aca="false">IF(E31="","",E31)</f>
        <v/>
      </c>
      <c r="F44" s="14" t="str">
        <f aca="false">IF(F31="","",F31)</f>
        <v/>
      </c>
      <c r="G44" s="40"/>
      <c r="H44" s="14" t="str">
        <f aca="false">IF($C44="","",Resumen!$E$16)</f>
        <v/>
      </c>
      <c r="I44" s="34"/>
      <c r="J44" s="41"/>
      <c r="K44" s="41"/>
      <c r="L44" s="34"/>
      <c r="M44" s="42"/>
    </row>
    <row r="45" customFormat="false" ht="19.5" hidden="false" customHeight="true" outlineLevel="0" collapsed="false">
      <c r="B45" s="17" t="n">
        <v>5</v>
      </c>
      <c r="C45" s="39" t="str">
        <f aca="false">IF(D14="","",D14)</f>
        <v/>
      </c>
      <c r="D45" s="39"/>
      <c r="E45" s="14" t="str">
        <f aca="false">IF(E32="","",E32)</f>
        <v/>
      </c>
      <c r="F45" s="14" t="str">
        <f aca="false">IF(F32="","",F32)</f>
        <v/>
      </c>
      <c r="G45" s="40"/>
      <c r="H45" s="14" t="str">
        <f aca="false">IF($C45="","",Resumen!$E$16)</f>
        <v/>
      </c>
      <c r="I45" s="34"/>
      <c r="J45" s="41"/>
      <c r="K45" s="41"/>
      <c r="L45" s="34"/>
      <c r="M45" s="42"/>
    </row>
    <row r="46" customFormat="false" ht="19.5" hidden="false" customHeight="true" outlineLevel="0" collapsed="false">
      <c r="B46" s="17" t="n">
        <v>6</v>
      </c>
      <c r="C46" s="39" t="str">
        <f aca="false">IF(D15="","",D15)</f>
        <v/>
      </c>
      <c r="D46" s="39"/>
      <c r="E46" s="14" t="str">
        <f aca="false">IF(E33="","",E33)</f>
        <v/>
      </c>
      <c r="F46" s="14" t="str">
        <f aca="false">IF(F33="","",F33)</f>
        <v/>
      </c>
      <c r="G46" s="40"/>
      <c r="H46" s="14" t="str">
        <f aca="false">IF($C46="","",Resumen!$E$16)</f>
        <v/>
      </c>
      <c r="I46" s="34"/>
      <c r="J46" s="41"/>
      <c r="K46" s="41"/>
      <c r="L46" s="34"/>
      <c r="M46" s="42"/>
    </row>
    <row r="47" customFormat="false" ht="19.5" hidden="false" customHeight="true" outlineLevel="0" collapsed="false">
      <c r="B47" s="17" t="n">
        <v>7</v>
      </c>
      <c r="C47" s="39" t="str">
        <f aca="false">IF(D16="","",D16)</f>
        <v/>
      </c>
      <c r="D47" s="39"/>
      <c r="E47" s="14" t="str">
        <f aca="false">IF(E34="","",E34)</f>
        <v/>
      </c>
      <c r="F47" s="14" t="str">
        <f aca="false">IF(F34="","",F34)</f>
        <v/>
      </c>
      <c r="G47" s="40"/>
      <c r="H47" s="14" t="str">
        <f aca="false">IF($C47="","",Resumen!$E$16)</f>
        <v/>
      </c>
      <c r="I47" s="34"/>
      <c r="J47" s="41"/>
      <c r="K47" s="41"/>
      <c r="L47" s="34"/>
      <c r="M47" s="42"/>
    </row>
    <row r="48" customFormat="false" ht="19.5" hidden="false" customHeight="true" outlineLevel="0" collapsed="false">
      <c r="B48" s="17" t="n">
        <v>8</v>
      </c>
      <c r="C48" s="39" t="str">
        <f aca="false">IF(D17="","",D17)</f>
        <v/>
      </c>
      <c r="D48" s="39"/>
      <c r="E48" s="14" t="str">
        <f aca="false">IF(E35="","",E35)</f>
        <v/>
      </c>
      <c r="F48" s="14" t="str">
        <f aca="false">IF(F35="","",F35)</f>
        <v/>
      </c>
      <c r="G48" s="40"/>
      <c r="H48" s="14" t="str">
        <f aca="false">IF($C48="","",Resumen!$E$16)</f>
        <v/>
      </c>
      <c r="I48" s="34"/>
      <c r="J48" s="41"/>
      <c r="K48" s="41"/>
      <c r="L48" s="34"/>
      <c r="M48" s="42"/>
    </row>
    <row r="50" customFormat="false" ht="21.75" hidden="false" customHeight="true" outlineLevel="0" collapsed="false">
      <c r="B50" s="4" t="str">
        <f aca="false">"SEMANA 3  ·  "&amp;UPPER(Resumen!D17)&amp;"  ·  RIR objetivo "&amp;Resumen!E17&amp;IF(Resumen!C17="","","  ·  "&amp;Resumen!C17)</f>
        <v>SEMANA 3  ·  INTENSIFICACIÓN  ·  RIR objetivo 1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customFormat="false" ht="19.5" hidden="false" customHeight="true" outlineLevel="0" collapsed="false">
      <c r="B51" s="32" t="s">
        <v>76</v>
      </c>
      <c r="C51" s="32"/>
      <c r="D51" s="33"/>
      <c r="E51" s="32" t="s">
        <v>77</v>
      </c>
      <c r="F51" s="32"/>
      <c r="G51" s="34"/>
      <c r="H51" s="32" t="s">
        <v>78</v>
      </c>
      <c r="I51" s="32"/>
      <c r="J51" s="32"/>
      <c r="K51" s="34"/>
    </row>
    <row r="52" customFormat="false" ht="15" hidden="false" customHeight="true" outlineLevel="0" collapsed="false">
      <c r="E52" s="35" t="s">
        <v>79</v>
      </c>
      <c r="F52" s="35"/>
      <c r="G52" s="35"/>
      <c r="H52" s="35"/>
      <c r="I52" s="36" t="s">
        <v>80</v>
      </c>
      <c r="J52" s="36"/>
      <c r="K52" s="36"/>
      <c r="L52" s="36"/>
    </row>
    <row r="53" customFormat="false" ht="19.5" hidden="false" customHeight="true" outlineLevel="0" collapsed="false">
      <c r="B53" s="37" t="s">
        <v>66</v>
      </c>
      <c r="C53" s="37" t="s">
        <v>68</v>
      </c>
      <c r="D53" s="37"/>
      <c r="E53" s="37" t="s">
        <v>81</v>
      </c>
      <c r="F53" s="37" t="s">
        <v>82</v>
      </c>
      <c r="G53" s="37" t="s">
        <v>83</v>
      </c>
      <c r="H53" s="37" t="s">
        <v>84</v>
      </c>
      <c r="I53" s="38" t="s">
        <v>81</v>
      </c>
      <c r="J53" s="38" t="s">
        <v>82</v>
      </c>
      <c r="K53" s="38" t="s">
        <v>85</v>
      </c>
      <c r="L53" s="38" t="s">
        <v>51</v>
      </c>
      <c r="M53" s="37" t="s">
        <v>86</v>
      </c>
    </row>
    <row r="54" customFormat="false" ht="19.5" hidden="false" customHeight="true" outlineLevel="0" collapsed="false">
      <c r="B54" s="17" t="n">
        <v>1</v>
      </c>
      <c r="C54" s="39" t="str">
        <f aca="false">IF(D10="","",D10)</f>
        <v/>
      </c>
      <c r="D54" s="39"/>
      <c r="E54" s="14" t="str">
        <f aca="false">IF(E41="","",E41)</f>
        <v/>
      </c>
      <c r="F54" s="14" t="str">
        <f aca="false">IF(F41="","",F41)</f>
        <v/>
      </c>
      <c r="G54" s="40"/>
      <c r="H54" s="14" t="str">
        <f aca="false">IF($C54="","",Resumen!$E$17)</f>
        <v/>
      </c>
      <c r="I54" s="34"/>
      <c r="J54" s="41"/>
      <c r="K54" s="41"/>
      <c r="L54" s="34"/>
      <c r="M54" s="42"/>
    </row>
    <row r="55" customFormat="false" ht="19.5" hidden="false" customHeight="true" outlineLevel="0" collapsed="false">
      <c r="B55" s="17" t="n">
        <v>2</v>
      </c>
      <c r="C55" s="39" t="str">
        <f aca="false">IF(D11="","",D11)</f>
        <v/>
      </c>
      <c r="D55" s="39"/>
      <c r="E55" s="14" t="str">
        <f aca="false">IF(E42="","",E42)</f>
        <v/>
      </c>
      <c r="F55" s="14" t="str">
        <f aca="false">IF(F42="","",F42)</f>
        <v/>
      </c>
      <c r="G55" s="40"/>
      <c r="H55" s="14" t="str">
        <f aca="false">IF($C55="","",Resumen!$E$17)</f>
        <v/>
      </c>
      <c r="I55" s="34"/>
      <c r="J55" s="41"/>
      <c r="K55" s="41"/>
      <c r="L55" s="34"/>
      <c r="M55" s="42"/>
    </row>
    <row r="56" customFormat="false" ht="19.5" hidden="false" customHeight="true" outlineLevel="0" collapsed="false">
      <c r="B56" s="17" t="n">
        <v>3</v>
      </c>
      <c r="C56" s="39" t="str">
        <f aca="false">IF(D12="","",D12)</f>
        <v/>
      </c>
      <c r="D56" s="39"/>
      <c r="E56" s="14" t="str">
        <f aca="false">IF(E43="","",E43)</f>
        <v/>
      </c>
      <c r="F56" s="14" t="str">
        <f aca="false">IF(F43="","",F43)</f>
        <v/>
      </c>
      <c r="G56" s="40"/>
      <c r="H56" s="14" t="str">
        <f aca="false">IF($C56="","",Resumen!$E$17)</f>
        <v/>
      </c>
      <c r="I56" s="34"/>
      <c r="J56" s="41"/>
      <c r="K56" s="41"/>
      <c r="L56" s="34"/>
      <c r="M56" s="42"/>
    </row>
    <row r="57" customFormat="false" ht="19.5" hidden="false" customHeight="true" outlineLevel="0" collapsed="false">
      <c r="B57" s="17" t="n">
        <v>4</v>
      </c>
      <c r="C57" s="39" t="str">
        <f aca="false">IF(D13="","",D13)</f>
        <v/>
      </c>
      <c r="D57" s="39"/>
      <c r="E57" s="14" t="str">
        <f aca="false">IF(E44="","",E44)</f>
        <v/>
      </c>
      <c r="F57" s="14" t="str">
        <f aca="false">IF(F44="","",F44)</f>
        <v/>
      </c>
      <c r="G57" s="40"/>
      <c r="H57" s="14" t="str">
        <f aca="false">IF($C57="","",Resumen!$E$17)</f>
        <v/>
      </c>
      <c r="I57" s="34"/>
      <c r="J57" s="41"/>
      <c r="K57" s="41"/>
      <c r="L57" s="34"/>
      <c r="M57" s="42"/>
    </row>
    <row r="58" customFormat="false" ht="19.5" hidden="false" customHeight="true" outlineLevel="0" collapsed="false">
      <c r="B58" s="17" t="n">
        <v>5</v>
      </c>
      <c r="C58" s="39" t="str">
        <f aca="false">IF(D14="","",D14)</f>
        <v/>
      </c>
      <c r="D58" s="39"/>
      <c r="E58" s="14" t="str">
        <f aca="false">IF(E45="","",E45)</f>
        <v/>
      </c>
      <c r="F58" s="14" t="str">
        <f aca="false">IF(F45="","",F45)</f>
        <v/>
      </c>
      <c r="G58" s="40"/>
      <c r="H58" s="14" t="str">
        <f aca="false">IF($C58="","",Resumen!$E$17)</f>
        <v/>
      </c>
      <c r="I58" s="34"/>
      <c r="J58" s="41"/>
      <c r="K58" s="41"/>
      <c r="L58" s="34"/>
      <c r="M58" s="42"/>
    </row>
    <row r="59" customFormat="false" ht="19.5" hidden="false" customHeight="true" outlineLevel="0" collapsed="false">
      <c r="B59" s="17" t="n">
        <v>6</v>
      </c>
      <c r="C59" s="39" t="str">
        <f aca="false">IF(D15="","",D15)</f>
        <v/>
      </c>
      <c r="D59" s="39"/>
      <c r="E59" s="14" t="str">
        <f aca="false">IF(E46="","",E46)</f>
        <v/>
      </c>
      <c r="F59" s="14" t="str">
        <f aca="false">IF(F46="","",F46)</f>
        <v/>
      </c>
      <c r="G59" s="40"/>
      <c r="H59" s="14" t="str">
        <f aca="false">IF($C59="","",Resumen!$E$17)</f>
        <v/>
      </c>
      <c r="I59" s="34"/>
      <c r="J59" s="41"/>
      <c r="K59" s="41"/>
      <c r="L59" s="34"/>
      <c r="M59" s="42"/>
    </row>
    <row r="60" customFormat="false" ht="19.5" hidden="false" customHeight="true" outlineLevel="0" collapsed="false">
      <c r="B60" s="17" t="n">
        <v>7</v>
      </c>
      <c r="C60" s="39" t="str">
        <f aca="false">IF(D16="","",D16)</f>
        <v/>
      </c>
      <c r="D60" s="39"/>
      <c r="E60" s="14" t="str">
        <f aca="false">IF(E47="","",E47)</f>
        <v/>
      </c>
      <c r="F60" s="14" t="str">
        <f aca="false">IF(F47="","",F47)</f>
        <v/>
      </c>
      <c r="G60" s="40"/>
      <c r="H60" s="14" t="str">
        <f aca="false">IF($C60="","",Resumen!$E$17)</f>
        <v/>
      </c>
      <c r="I60" s="34"/>
      <c r="J60" s="41"/>
      <c r="K60" s="41"/>
      <c r="L60" s="34"/>
      <c r="M60" s="42"/>
    </row>
    <row r="61" customFormat="false" ht="19.5" hidden="false" customHeight="true" outlineLevel="0" collapsed="false">
      <c r="B61" s="17" t="n">
        <v>8</v>
      </c>
      <c r="C61" s="39" t="str">
        <f aca="false">IF(D17="","",D17)</f>
        <v/>
      </c>
      <c r="D61" s="39"/>
      <c r="E61" s="14" t="str">
        <f aca="false">IF(E48="","",E48)</f>
        <v/>
      </c>
      <c r="F61" s="14" t="str">
        <f aca="false">IF(F48="","",F48)</f>
        <v/>
      </c>
      <c r="G61" s="40"/>
      <c r="H61" s="14" t="str">
        <f aca="false">IF($C61="","",Resumen!$E$17)</f>
        <v/>
      </c>
      <c r="I61" s="34"/>
      <c r="J61" s="41"/>
      <c r="K61" s="41"/>
      <c r="L61" s="34"/>
      <c r="M61" s="42"/>
    </row>
    <row r="63" customFormat="false" ht="21.75" hidden="false" customHeight="true" outlineLevel="0" collapsed="false">
      <c r="B63" s="4" t="str">
        <f aca="false">"SEMANA 4  ·  "&amp;UPPER(Resumen!D18)&amp;"  ·  RIR objetivo "&amp;Resumen!E18&amp;IF(Resumen!C18="","","  ·  "&amp;Resumen!C18)</f>
        <v>SEMANA 4  ·  DESCARGA  ·  RIR objetivo 4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customFormat="false" ht="19.5" hidden="false" customHeight="true" outlineLevel="0" collapsed="false">
      <c r="B64" s="32" t="s">
        <v>76</v>
      </c>
      <c r="C64" s="32"/>
      <c r="D64" s="33"/>
      <c r="E64" s="32" t="s">
        <v>77</v>
      </c>
      <c r="F64" s="32"/>
      <c r="G64" s="34"/>
      <c r="H64" s="32" t="s">
        <v>78</v>
      </c>
      <c r="I64" s="32"/>
      <c r="J64" s="32"/>
      <c r="K64" s="34"/>
    </row>
    <row r="65" customFormat="false" ht="15" hidden="false" customHeight="true" outlineLevel="0" collapsed="false">
      <c r="E65" s="35" t="s">
        <v>79</v>
      </c>
      <c r="F65" s="35"/>
      <c r="G65" s="35"/>
      <c r="H65" s="35"/>
      <c r="I65" s="36" t="s">
        <v>80</v>
      </c>
      <c r="J65" s="36"/>
      <c r="K65" s="36"/>
      <c r="L65" s="36"/>
    </row>
    <row r="66" customFormat="false" ht="19.5" hidden="false" customHeight="true" outlineLevel="0" collapsed="false">
      <c r="B66" s="37" t="s">
        <v>66</v>
      </c>
      <c r="C66" s="37" t="s">
        <v>68</v>
      </c>
      <c r="D66" s="37"/>
      <c r="E66" s="37" t="s">
        <v>81</v>
      </c>
      <c r="F66" s="37" t="s">
        <v>82</v>
      </c>
      <c r="G66" s="37" t="s">
        <v>83</v>
      </c>
      <c r="H66" s="37" t="s">
        <v>84</v>
      </c>
      <c r="I66" s="38" t="s">
        <v>81</v>
      </c>
      <c r="J66" s="38" t="s">
        <v>82</v>
      </c>
      <c r="K66" s="38" t="s">
        <v>85</v>
      </c>
      <c r="L66" s="38" t="s">
        <v>51</v>
      </c>
      <c r="M66" s="37" t="s">
        <v>86</v>
      </c>
    </row>
    <row r="67" customFormat="false" ht="19.5" hidden="false" customHeight="true" outlineLevel="0" collapsed="false">
      <c r="B67" s="17" t="n">
        <v>1</v>
      </c>
      <c r="C67" s="39" t="str">
        <f aca="false">IF(D10="","",D10)</f>
        <v/>
      </c>
      <c r="D67" s="39"/>
      <c r="E67" s="14" t="str">
        <f aca="false">IF(E54="","",E54)</f>
        <v/>
      </c>
      <c r="F67" s="14" t="str">
        <f aca="false">IF(F54="","",F54)</f>
        <v/>
      </c>
      <c r="G67" s="40"/>
      <c r="H67" s="14" t="str">
        <f aca="false">IF($C67="","",Resumen!$E$18)</f>
        <v/>
      </c>
      <c r="I67" s="34"/>
      <c r="J67" s="41"/>
      <c r="K67" s="41"/>
      <c r="L67" s="34"/>
      <c r="M67" s="42"/>
    </row>
    <row r="68" customFormat="false" ht="19.5" hidden="false" customHeight="true" outlineLevel="0" collapsed="false">
      <c r="B68" s="17" t="n">
        <v>2</v>
      </c>
      <c r="C68" s="39" t="str">
        <f aca="false">IF(D11="","",D11)</f>
        <v/>
      </c>
      <c r="D68" s="39"/>
      <c r="E68" s="14" t="str">
        <f aca="false">IF(E55="","",E55)</f>
        <v/>
      </c>
      <c r="F68" s="14" t="str">
        <f aca="false">IF(F55="","",F55)</f>
        <v/>
      </c>
      <c r="G68" s="40"/>
      <c r="H68" s="14" t="str">
        <f aca="false">IF($C68="","",Resumen!$E$18)</f>
        <v/>
      </c>
      <c r="I68" s="34"/>
      <c r="J68" s="41"/>
      <c r="K68" s="41"/>
      <c r="L68" s="34"/>
      <c r="M68" s="42"/>
    </row>
    <row r="69" customFormat="false" ht="19.5" hidden="false" customHeight="true" outlineLevel="0" collapsed="false">
      <c r="B69" s="17" t="n">
        <v>3</v>
      </c>
      <c r="C69" s="39" t="str">
        <f aca="false">IF(D12="","",D12)</f>
        <v/>
      </c>
      <c r="D69" s="39"/>
      <c r="E69" s="14" t="str">
        <f aca="false">IF(E56="","",E56)</f>
        <v/>
      </c>
      <c r="F69" s="14" t="str">
        <f aca="false">IF(F56="","",F56)</f>
        <v/>
      </c>
      <c r="G69" s="40"/>
      <c r="H69" s="14" t="str">
        <f aca="false">IF($C69="","",Resumen!$E$18)</f>
        <v/>
      </c>
      <c r="I69" s="34"/>
      <c r="J69" s="41"/>
      <c r="K69" s="41"/>
      <c r="L69" s="34"/>
      <c r="M69" s="42"/>
    </row>
    <row r="70" customFormat="false" ht="19.5" hidden="false" customHeight="true" outlineLevel="0" collapsed="false">
      <c r="B70" s="17" t="n">
        <v>4</v>
      </c>
      <c r="C70" s="39" t="str">
        <f aca="false">IF(D13="","",D13)</f>
        <v/>
      </c>
      <c r="D70" s="39"/>
      <c r="E70" s="14" t="str">
        <f aca="false">IF(E57="","",E57)</f>
        <v/>
      </c>
      <c r="F70" s="14" t="str">
        <f aca="false">IF(F57="","",F57)</f>
        <v/>
      </c>
      <c r="G70" s="40"/>
      <c r="H70" s="14" t="str">
        <f aca="false">IF($C70="","",Resumen!$E$18)</f>
        <v/>
      </c>
      <c r="I70" s="34"/>
      <c r="J70" s="41"/>
      <c r="K70" s="41"/>
      <c r="L70" s="34"/>
      <c r="M70" s="42"/>
    </row>
    <row r="71" customFormat="false" ht="19.5" hidden="false" customHeight="true" outlineLevel="0" collapsed="false">
      <c r="B71" s="17" t="n">
        <v>5</v>
      </c>
      <c r="C71" s="39" t="str">
        <f aca="false">IF(D14="","",D14)</f>
        <v/>
      </c>
      <c r="D71" s="39"/>
      <c r="E71" s="14" t="str">
        <f aca="false">IF(E58="","",E58)</f>
        <v/>
      </c>
      <c r="F71" s="14" t="str">
        <f aca="false">IF(F58="","",F58)</f>
        <v/>
      </c>
      <c r="G71" s="40"/>
      <c r="H71" s="14" t="str">
        <f aca="false">IF($C71="","",Resumen!$E$18)</f>
        <v/>
      </c>
      <c r="I71" s="34"/>
      <c r="J71" s="41"/>
      <c r="K71" s="41"/>
      <c r="L71" s="34"/>
      <c r="M71" s="42"/>
    </row>
    <row r="72" customFormat="false" ht="19.5" hidden="false" customHeight="true" outlineLevel="0" collapsed="false">
      <c r="B72" s="17" t="n">
        <v>6</v>
      </c>
      <c r="C72" s="39" t="str">
        <f aca="false">IF(D15="","",D15)</f>
        <v/>
      </c>
      <c r="D72" s="39"/>
      <c r="E72" s="14" t="str">
        <f aca="false">IF(E59="","",E59)</f>
        <v/>
      </c>
      <c r="F72" s="14" t="str">
        <f aca="false">IF(F59="","",F59)</f>
        <v/>
      </c>
      <c r="G72" s="40"/>
      <c r="H72" s="14" t="str">
        <f aca="false">IF($C72="","",Resumen!$E$18)</f>
        <v/>
      </c>
      <c r="I72" s="34"/>
      <c r="J72" s="41"/>
      <c r="K72" s="41"/>
      <c r="L72" s="34"/>
      <c r="M72" s="42"/>
    </row>
    <row r="73" customFormat="false" ht="19.5" hidden="false" customHeight="true" outlineLevel="0" collapsed="false">
      <c r="B73" s="17" t="n">
        <v>7</v>
      </c>
      <c r="C73" s="39" t="str">
        <f aca="false">IF(D16="","",D16)</f>
        <v/>
      </c>
      <c r="D73" s="39"/>
      <c r="E73" s="14" t="str">
        <f aca="false">IF(E60="","",E60)</f>
        <v/>
      </c>
      <c r="F73" s="14" t="str">
        <f aca="false">IF(F60="","",F60)</f>
        <v/>
      </c>
      <c r="G73" s="40"/>
      <c r="H73" s="14" t="str">
        <f aca="false">IF($C73="","",Resumen!$E$18)</f>
        <v/>
      </c>
      <c r="I73" s="34"/>
      <c r="J73" s="41"/>
      <c r="K73" s="41"/>
      <c r="L73" s="34"/>
      <c r="M73" s="42"/>
    </row>
    <row r="74" customFormat="false" ht="19.5" hidden="false" customHeight="true" outlineLevel="0" collapsed="false">
      <c r="B74" s="17" t="n">
        <v>8</v>
      </c>
      <c r="C74" s="39" t="str">
        <f aca="false">IF(D17="","",D17)</f>
        <v/>
      </c>
      <c r="D74" s="39"/>
      <c r="E74" s="14" t="str">
        <f aca="false">IF(E61="","",E61)</f>
        <v/>
      </c>
      <c r="F74" s="14" t="str">
        <f aca="false">IF(F61="","",F61)</f>
        <v/>
      </c>
      <c r="G74" s="40"/>
      <c r="H74" s="14" t="str">
        <f aca="false">IF($C74="","",Resumen!$E$18)</f>
        <v/>
      </c>
      <c r="I74" s="34"/>
      <c r="J74" s="41"/>
      <c r="K74" s="41"/>
      <c r="L74" s="34"/>
      <c r="M74" s="42"/>
    </row>
    <row r="76" customFormat="false" ht="19.5" hidden="false" customHeight="true" outlineLevel="0" collapsed="false">
      <c r="B76" s="43" t="s">
        <v>87</v>
      </c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</row>
    <row r="77" customFormat="false" ht="19.5" hidden="false" customHeight="true" outlineLevel="0" collapsed="false">
      <c r="B77" s="37" t="s">
        <v>66</v>
      </c>
      <c r="C77" s="37" t="s">
        <v>68</v>
      </c>
      <c r="D77" s="37"/>
      <c r="E77" s="37" t="s">
        <v>88</v>
      </c>
      <c r="F77" s="37" t="s">
        <v>89</v>
      </c>
      <c r="G77" s="37" t="s">
        <v>90</v>
      </c>
      <c r="H77" s="37" t="s">
        <v>91</v>
      </c>
      <c r="I77" s="37" t="s">
        <v>92</v>
      </c>
      <c r="J77" s="37" t="s">
        <v>93</v>
      </c>
      <c r="K77" s="37" t="s">
        <v>94</v>
      </c>
      <c r="L77" s="37"/>
      <c r="M77" s="37"/>
    </row>
    <row r="78" customFormat="false" ht="18" hidden="false" customHeight="true" outlineLevel="0" collapsed="false">
      <c r="B78" s="12" t="n">
        <v>1</v>
      </c>
      <c r="C78" s="44" t="str">
        <f aca="false">IF(D10="","",D10)</f>
        <v/>
      </c>
      <c r="D78" s="44"/>
      <c r="E78" s="45" t="str">
        <f aca="false">IF(K28="","",IF(ISNUMBER(K28),K28,IFERROR(IFERROR(LEFT(TRIM(RIGHT(SUBSTITUTE(SUBSTITUTE(K28,".",""),"-",REPT(" ",50)),50)),FIND(",",TRIM(RIGHT(SUBSTITUTE(SUBSTITUTE(K28,".",""),"-",REPT(" ",50)),50)))-1)*1,TRIM(RIGHT(SUBSTITUTE(SUBSTITUTE(K28,".",""),"-",REPT(" ",50)),50))*1)+IFERROR(MID(TRIM(RIGHT(SUBSTITUTE(SUBSTITUTE(K28,".",""),"-",REPT(" ",50)),50)),FIND(",",TRIM(RIGHT(SUBSTITUTE(SUBSTITUTE(K28,".",""),"-",REPT(" ",50)),50)))+1,9)/10^LEN(MID(TRIM(RIGHT(SUBSTITUTE(SUBSTITUTE(K28,".",""),"-",REPT(" ",50)),50)),FIND(",",TRIM(RIGHT(SUBSTITUTE(SUBSTITUTE(K28,".",""),"-",REPT(" ",50)),50)))+1,9)),0),"")))</f>
        <v/>
      </c>
      <c r="F78" s="45" t="str">
        <f aca="false">IF(K41="","",IF(ISNUMBER(K41),K41,IFERROR(IFERROR(LEFT(TRIM(RIGHT(SUBSTITUTE(SUBSTITUTE(K41,".",""),"-",REPT(" ",50)),50)),FIND(",",TRIM(RIGHT(SUBSTITUTE(SUBSTITUTE(K41,".",""),"-",REPT(" ",50)),50)))-1)*1,TRIM(RIGHT(SUBSTITUTE(SUBSTITUTE(K41,".",""),"-",REPT(" ",50)),50))*1)+IFERROR(MID(TRIM(RIGHT(SUBSTITUTE(SUBSTITUTE(K41,".",""),"-",REPT(" ",50)),50)),FIND(",",TRIM(RIGHT(SUBSTITUTE(SUBSTITUTE(K41,".",""),"-",REPT(" ",50)),50)))+1,9)/10^LEN(MID(TRIM(RIGHT(SUBSTITUTE(SUBSTITUTE(K41,".",""),"-",REPT(" ",50)),50)),FIND(",",TRIM(RIGHT(SUBSTITUTE(SUBSTITUTE(K41,".",""),"-",REPT(" ",50)),50)))+1,9)),0),"")))</f>
        <v/>
      </c>
      <c r="G78" s="45" t="str">
        <f aca="false">IF(K54="","",IF(ISNUMBER(K54),K54,IFERROR(IFERROR(LEFT(TRIM(RIGHT(SUBSTITUTE(SUBSTITUTE(K54,".",""),"-",REPT(" ",50)),50)),FIND(",",TRIM(RIGHT(SUBSTITUTE(SUBSTITUTE(K54,".",""),"-",REPT(" ",50)),50)))-1)*1,TRIM(RIGHT(SUBSTITUTE(SUBSTITUTE(K54,".",""),"-",REPT(" ",50)),50))*1)+IFERROR(MID(TRIM(RIGHT(SUBSTITUTE(SUBSTITUTE(K54,".",""),"-",REPT(" ",50)),50)),FIND(",",TRIM(RIGHT(SUBSTITUTE(SUBSTITUTE(K54,".",""),"-",REPT(" ",50)),50)))+1,9)/10^LEN(MID(TRIM(RIGHT(SUBSTITUTE(SUBSTITUTE(K54,".",""),"-",REPT(" ",50)),50)),FIND(",",TRIM(RIGHT(SUBSTITUTE(SUBSTITUTE(K54,".",""),"-",REPT(" ",50)),50)))+1,9)),0),"")))</f>
        <v/>
      </c>
      <c r="H78" s="45" t="str">
        <f aca="false">IF(K67="","",IF(ISNUMBER(K67),K67,IFERROR(IFERROR(LEFT(TRIM(RIGHT(SUBSTITUTE(SUBSTITUTE(K67,".",""),"-",REPT(" ",50)),50)),FIND(",",TRIM(RIGHT(SUBSTITUTE(SUBSTITUTE(K67,".",""),"-",REPT(" ",50)),50)))-1)*1,TRIM(RIGHT(SUBSTITUTE(SUBSTITUTE(K67,".",""),"-",REPT(" ",50)),50))*1)+IFERROR(MID(TRIM(RIGHT(SUBSTITUTE(SUBSTITUTE(K67,".",""),"-",REPT(" ",50)),50)),FIND(",",TRIM(RIGHT(SUBSTITUTE(SUBSTITUTE(K67,".",""),"-",REPT(" ",50)),50)))+1,9)/10^LEN(MID(TRIM(RIGHT(SUBSTITUTE(SUBSTITUTE(K67,".",""),"-",REPT(" ",50)),50)),FIND(",",TRIM(RIGHT(SUBSTITUTE(SUBSTITUTE(K67,".",""),"-",REPT(" ",50)),50)))+1,9)),0),"")))</f>
        <v/>
      </c>
      <c r="I78" s="46" t="str">
        <f aca="false">IF(OR(E78="",G78=""),"",G78-E78)</f>
        <v/>
      </c>
      <c r="J78" s="47" t="str">
        <f aca="false">IF(OR(E78="",G78="",E78=0),"",(G78-E78)/E78)</f>
        <v/>
      </c>
      <c r="K78" s="13" t="str">
        <f aca="false">IF(I78="","",IF(I78&gt;0,"▲ Progresa",IF(I78=0,"■ Estable","▼ Revisar")))</f>
        <v/>
      </c>
      <c r="L78" s="13"/>
      <c r="M78" s="13"/>
    </row>
    <row r="79" customFormat="false" ht="18" hidden="false" customHeight="true" outlineLevel="0" collapsed="false">
      <c r="B79" s="17" t="n">
        <v>2</v>
      </c>
      <c r="C79" s="39" t="str">
        <f aca="false">IF(D11="","",D11)</f>
        <v/>
      </c>
      <c r="D79" s="39"/>
      <c r="E79" s="48" t="str">
        <f aca="false">IF(K29="","",IF(ISNUMBER(K29),K29,IFERROR(IFERROR(LEFT(TRIM(RIGHT(SUBSTITUTE(SUBSTITUTE(K29,".",""),"-",REPT(" ",50)),50)),FIND(",",TRIM(RIGHT(SUBSTITUTE(SUBSTITUTE(K29,".",""),"-",REPT(" ",50)),50)))-1)*1,TRIM(RIGHT(SUBSTITUTE(SUBSTITUTE(K29,".",""),"-",REPT(" ",50)),50))*1)+IFERROR(MID(TRIM(RIGHT(SUBSTITUTE(SUBSTITUTE(K29,".",""),"-",REPT(" ",50)),50)),FIND(",",TRIM(RIGHT(SUBSTITUTE(SUBSTITUTE(K29,".",""),"-",REPT(" ",50)),50)))+1,9)/10^LEN(MID(TRIM(RIGHT(SUBSTITUTE(SUBSTITUTE(K29,".",""),"-",REPT(" ",50)),50)),FIND(",",TRIM(RIGHT(SUBSTITUTE(SUBSTITUTE(K29,".",""),"-",REPT(" ",50)),50)))+1,9)),0),"")))</f>
        <v/>
      </c>
      <c r="F79" s="48" t="str">
        <f aca="false">IF(K42="","",IF(ISNUMBER(K42),K42,IFERROR(IFERROR(LEFT(TRIM(RIGHT(SUBSTITUTE(SUBSTITUTE(K42,".",""),"-",REPT(" ",50)),50)),FIND(",",TRIM(RIGHT(SUBSTITUTE(SUBSTITUTE(K42,".",""),"-",REPT(" ",50)),50)))-1)*1,TRIM(RIGHT(SUBSTITUTE(SUBSTITUTE(K42,".",""),"-",REPT(" ",50)),50))*1)+IFERROR(MID(TRIM(RIGHT(SUBSTITUTE(SUBSTITUTE(K42,".",""),"-",REPT(" ",50)),50)),FIND(",",TRIM(RIGHT(SUBSTITUTE(SUBSTITUTE(K42,".",""),"-",REPT(" ",50)),50)))+1,9)/10^LEN(MID(TRIM(RIGHT(SUBSTITUTE(SUBSTITUTE(K42,".",""),"-",REPT(" ",50)),50)),FIND(",",TRIM(RIGHT(SUBSTITUTE(SUBSTITUTE(K42,".",""),"-",REPT(" ",50)),50)))+1,9)),0),"")))</f>
        <v/>
      </c>
      <c r="G79" s="48" t="str">
        <f aca="false">IF(K55="","",IF(ISNUMBER(K55),K55,IFERROR(IFERROR(LEFT(TRIM(RIGHT(SUBSTITUTE(SUBSTITUTE(K55,".",""),"-",REPT(" ",50)),50)),FIND(",",TRIM(RIGHT(SUBSTITUTE(SUBSTITUTE(K55,".",""),"-",REPT(" ",50)),50)))-1)*1,TRIM(RIGHT(SUBSTITUTE(SUBSTITUTE(K55,".",""),"-",REPT(" ",50)),50))*1)+IFERROR(MID(TRIM(RIGHT(SUBSTITUTE(SUBSTITUTE(K55,".",""),"-",REPT(" ",50)),50)),FIND(",",TRIM(RIGHT(SUBSTITUTE(SUBSTITUTE(K55,".",""),"-",REPT(" ",50)),50)))+1,9)/10^LEN(MID(TRIM(RIGHT(SUBSTITUTE(SUBSTITUTE(K55,".",""),"-",REPT(" ",50)),50)),FIND(",",TRIM(RIGHT(SUBSTITUTE(SUBSTITUTE(K55,".",""),"-",REPT(" ",50)),50)))+1,9)),0),"")))</f>
        <v/>
      </c>
      <c r="H79" s="48" t="str">
        <f aca="false">IF(K68="","",IF(ISNUMBER(K68),K68,IFERROR(IFERROR(LEFT(TRIM(RIGHT(SUBSTITUTE(SUBSTITUTE(K68,".",""),"-",REPT(" ",50)),50)),FIND(",",TRIM(RIGHT(SUBSTITUTE(SUBSTITUTE(K68,".",""),"-",REPT(" ",50)),50)))-1)*1,TRIM(RIGHT(SUBSTITUTE(SUBSTITUTE(K68,".",""),"-",REPT(" ",50)),50))*1)+IFERROR(MID(TRIM(RIGHT(SUBSTITUTE(SUBSTITUTE(K68,".",""),"-",REPT(" ",50)),50)),FIND(",",TRIM(RIGHT(SUBSTITUTE(SUBSTITUTE(K68,".",""),"-",REPT(" ",50)),50)))+1,9)/10^LEN(MID(TRIM(RIGHT(SUBSTITUTE(SUBSTITUTE(K68,".",""),"-",REPT(" ",50)),50)),FIND(",",TRIM(RIGHT(SUBSTITUTE(SUBSTITUTE(K68,".",""),"-",REPT(" ",50)),50)))+1,9)),0),"")))</f>
        <v/>
      </c>
      <c r="I79" s="49" t="str">
        <f aca="false">IF(OR(E79="",G79=""),"",G79-E79)</f>
        <v/>
      </c>
      <c r="J79" s="50" t="str">
        <f aca="false">IF(OR(E79="",G79="",E79=0),"",(G79-E79)/E79)</f>
        <v/>
      </c>
      <c r="K79" s="18" t="str">
        <f aca="false">IF(I79="","",IF(I79&gt;0,"▲ Progresa",IF(I79=0,"■ Estable","▼ Revisar")))</f>
        <v/>
      </c>
      <c r="L79" s="18"/>
      <c r="M79" s="18"/>
    </row>
    <row r="80" customFormat="false" ht="18" hidden="false" customHeight="true" outlineLevel="0" collapsed="false">
      <c r="B80" s="12" t="n">
        <v>3</v>
      </c>
      <c r="C80" s="44" t="str">
        <f aca="false">IF(D12="","",D12)</f>
        <v/>
      </c>
      <c r="D80" s="44"/>
      <c r="E80" s="45" t="str">
        <f aca="false">IF(K30="","",IF(ISNUMBER(K30),K30,IFERROR(IFERROR(LEFT(TRIM(RIGHT(SUBSTITUTE(SUBSTITUTE(K30,".",""),"-",REPT(" ",50)),50)),FIND(",",TRIM(RIGHT(SUBSTITUTE(SUBSTITUTE(K30,".",""),"-",REPT(" ",50)),50)))-1)*1,TRIM(RIGHT(SUBSTITUTE(SUBSTITUTE(K30,".",""),"-",REPT(" ",50)),50))*1)+IFERROR(MID(TRIM(RIGHT(SUBSTITUTE(SUBSTITUTE(K30,".",""),"-",REPT(" ",50)),50)),FIND(",",TRIM(RIGHT(SUBSTITUTE(SUBSTITUTE(K30,".",""),"-",REPT(" ",50)),50)))+1,9)/10^LEN(MID(TRIM(RIGHT(SUBSTITUTE(SUBSTITUTE(K30,".",""),"-",REPT(" ",50)),50)),FIND(",",TRIM(RIGHT(SUBSTITUTE(SUBSTITUTE(K30,".",""),"-",REPT(" ",50)),50)))+1,9)),0),"")))</f>
        <v/>
      </c>
      <c r="F80" s="45" t="str">
        <f aca="false">IF(K43="","",IF(ISNUMBER(K43),K43,IFERROR(IFERROR(LEFT(TRIM(RIGHT(SUBSTITUTE(SUBSTITUTE(K43,".",""),"-",REPT(" ",50)),50)),FIND(",",TRIM(RIGHT(SUBSTITUTE(SUBSTITUTE(K43,".",""),"-",REPT(" ",50)),50)))-1)*1,TRIM(RIGHT(SUBSTITUTE(SUBSTITUTE(K43,".",""),"-",REPT(" ",50)),50))*1)+IFERROR(MID(TRIM(RIGHT(SUBSTITUTE(SUBSTITUTE(K43,".",""),"-",REPT(" ",50)),50)),FIND(",",TRIM(RIGHT(SUBSTITUTE(SUBSTITUTE(K43,".",""),"-",REPT(" ",50)),50)))+1,9)/10^LEN(MID(TRIM(RIGHT(SUBSTITUTE(SUBSTITUTE(K43,".",""),"-",REPT(" ",50)),50)),FIND(",",TRIM(RIGHT(SUBSTITUTE(SUBSTITUTE(K43,".",""),"-",REPT(" ",50)),50)))+1,9)),0),"")))</f>
        <v/>
      </c>
      <c r="G80" s="45" t="str">
        <f aca="false">IF(K56="","",IF(ISNUMBER(K56),K56,IFERROR(IFERROR(LEFT(TRIM(RIGHT(SUBSTITUTE(SUBSTITUTE(K56,".",""),"-",REPT(" ",50)),50)),FIND(",",TRIM(RIGHT(SUBSTITUTE(SUBSTITUTE(K56,".",""),"-",REPT(" ",50)),50)))-1)*1,TRIM(RIGHT(SUBSTITUTE(SUBSTITUTE(K56,".",""),"-",REPT(" ",50)),50))*1)+IFERROR(MID(TRIM(RIGHT(SUBSTITUTE(SUBSTITUTE(K56,".",""),"-",REPT(" ",50)),50)),FIND(",",TRIM(RIGHT(SUBSTITUTE(SUBSTITUTE(K56,".",""),"-",REPT(" ",50)),50)))+1,9)/10^LEN(MID(TRIM(RIGHT(SUBSTITUTE(SUBSTITUTE(K56,".",""),"-",REPT(" ",50)),50)),FIND(",",TRIM(RIGHT(SUBSTITUTE(SUBSTITUTE(K56,".",""),"-",REPT(" ",50)),50)))+1,9)),0),"")))</f>
        <v/>
      </c>
      <c r="H80" s="45" t="str">
        <f aca="false">IF(K69="","",IF(ISNUMBER(K69),K69,IFERROR(IFERROR(LEFT(TRIM(RIGHT(SUBSTITUTE(SUBSTITUTE(K69,".",""),"-",REPT(" ",50)),50)),FIND(",",TRIM(RIGHT(SUBSTITUTE(SUBSTITUTE(K69,".",""),"-",REPT(" ",50)),50)))-1)*1,TRIM(RIGHT(SUBSTITUTE(SUBSTITUTE(K69,".",""),"-",REPT(" ",50)),50))*1)+IFERROR(MID(TRIM(RIGHT(SUBSTITUTE(SUBSTITUTE(K69,".",""),"-",REPT(" ",50)),50)),FIND(",",TRIM(RIGHT(SUBSTITUTE(SUBSTITUTE(K69,".",""),"-",REPT(" ",50)),50)))+1,9)/10^LEN(MID(TRIM(RIGHT(SUBSTITUTE(SUBSTITUTE(K69,".",""),"-",REPT(" ",50)),50)),FIND(",",TRIM(RIGHT(SUBSTITUTE(SUBSTITUTE(K69,".",""),"-",REPT(" ",50)),50)))+1,9)),0),"")))</f>
        <v/>
      </c>
      <c r="I80" s="46" t="str">
        <f aca="false">IF(OR(E80="",G80=""),"",G80-E80)</f>
        <v/>
      </c>
      <c r="J80" s="47" t="str">
        <f aca="false">IF(OR(E80="",G80="",E80=0),"",(G80-E80)/E80)</f>
        <v/>
      </c>
      <c r="K80" s="13" t="str">
        <f aca="false">IF(I80="","",IF(I80&gt;0,"▲ Progresa",IF(I80=0,"■ Estable","▼ Revisar")))</f>
        <v/>
      </c>
      <c r="L80" s="13"/>
      <c r="M80" s="13"/>
    </row>
    <row r="81" customFormat="false" ht="18" hidden="false" customHeight="true" outlineLevel="0" collapsed="false">
      <c r="B81" s="17" t="n">
        <v>4</v>
      </c>
      <c r="C81" s="39" t="str">
        <f aca="false">IF(D13="","",D13)</f>
        <v/>
      </c>
      <c r="D81" s="39"/>
      <c r="E81" s="48" t="str">
        <f aca="false">IF(K31="","",IF(ISNUMBER(K31),K31,IFERROR(IFERROR(LEFT(TRIM(RIGHT(SUBSTITUTE(SUBSTITUTE(K31,".",""),"-",REPT(" ",50)),50)),FIND(",",TRIM(RIGHT(SUBSTITUTE(SUBSTITUTE(K31,".",""),"-",REPT(" ",50)),50)))-1)*1,TRIM(RIGHT(SUBSTITUTE(SUBSTITUTE(K31,".",""),"-",REPT(" ",50)),50))*1)+IFERROR(MID(TRIM(RIGHT(SUBSTITUTE(SUBSTITUTE(K31,".",""),"-",REPT(" ",50)),50)),FIND(",",TRIM(RIGHT(SUBSTITUTE(SUBSTITUTE(K31,".",""),"-",REPT(" ",50)),50)))+1,9)/10^LEN(MID(TRIM(RIGHT(SUBSTITUTE(SUBSTITUTE(K31,".",""),"-",REPT(" ",50)),50)),FIND(",",TRIM(RIGHT(SUBSTITUTE(SUBSTITUTE(K31,".",""),"-",REPT(" ",50)),50)))+1,9)),0),"")))</f>
        <v/>
      </c>
      <c r="F81" s="48" t="str">
        <f aca="false">IF(K44="","",IF(ISNUMBER(K44),K44,IFERROR(IFERROR(LEFT(TRIM(RIGHT(SUBSTITUTE(SUBSTITUTE(K44,".",""),"-",REPT(" ",50)),50)),FIND(",",TRIM(RIGHT(SUBSTITUTE(SUBSTITUTE(K44,".",""),"-",REPT(" ",50)),50)))-1)*1,TRIM(RIGHT(SUBSTITUTE(SUBSTITUTE(K44,".",""),"-",REPT(" ",50)),50))*1)+IFERROR(MID(TRIM(RIGHT(SUBSTITUTE(SUBSTITUTE(K44,".",""),"-",REPT(" ",50)),50)),FIND(",",TRIM(RIGHT(SUBSTITUTE(SUBSTITUTE(K44,".",""),"-",REPT(" ",50)),50)))+1,9)/10^LEN(MID(TRIM(RIGHT(SUBSTITUTE(SUBSTITUTE(K44,".",""),"-",REPT(" ",50)),50)),FIND(",",TRIM(RIGHT(SUBSTITUTE(SUBSTITUTE(K44,".",""),"-",REPT(" ",50)),50)))+1,9)),0),"")))</f>
        <v/>
      </c>
      <c r="G81" s="48" t="str">
        <f aca="false">IF(K57="","",IF(ISNUMBER(K57),K57,IFERROR(IFERROR(LEFT(TRIM(RIGHT(SUBSTITUTE(SUBSTITUTE(K57,".",""),"-",REPT(" ",50)),50)),FIND(",",TRIM(RIGHT(SUBSTITUTE(SUBSTITUTE(K57,".",""),"-",REPT(" ",50)),50)))-1)*1,TRIM(RIGHT(SUBSTITUTE(SUBSTITUTE(K57,".",""),"-",REPT(" ",50)),50))*1)+IFERROR(MID(TRIM(RIGHT(SUBSTITUTE(SUBSTITUTE(K57,".",""),"-",REPT(" ",50)),50)),FIND(",",TRIM(RIGHT(SUBSTITUTE(SUBSTITUTE(K57,".",""),"-",REPT(" ",50)),50)))+1,9)/10^LEN(MID(TRIM(RIGHT(SUBSTITUTE(SUBSTITUTE(K57,".",""),"-",REPT(" ",50)),50)),FIND(",",TRIM(RIGHT(SUBSTITUTE(SUBSTITUTE(K57,".",""),"-",REPT(" ",50)),50)))+1,9)),0),"")))</f>
        <v/>
      </c>
      <c r="H81" s="48" t="str">
        <f aca="false">IF(K70="","",IF(ISNUMBER(K70),K70,IFERROR(IFERROR(LEFT(TRIM(RIGHT(SUBSTITUTE(SUBSTITUTE(K70,".",""),"-",REPT(" ",50)),50)),FIND(",",TRIM(RIGHT(SUBSTITUTE(SUBSTITUTE(K70,".",""),"-",REPT(" ",50)),50)))-1)*1,TRIM(RIGHT(SUBSTITUTE(SUBSTITUTE(K70,".",""),"-",REPT(" ",50)),50))*1)+IFERROR(MID(TRIM(RIGHT(SUBSTITUTE(SUBSTITUTE(K70,".",""),"-",REPT(" ",50)),50)),FIND(",",TRIM(RIGHT(SUBSTITUTE(SUBSTITUTE(K70,".",""),"-",REPT(" ",50)),50)))+1,9)/10^LEN(MID(TRIM(RIGHT(SUBSTITUTE(SUBSTITUTE(K70,".",""),"-",REPT(" ",50)),50)),FIND(",",TRIM(RIGHT(SUBSTITUTE(SUBSTITUTE(K70,".",""),"-",REPT(" ",50)),50)))+1,9)),0),"")))</f>
        <v/>
      </c>
      <c r="I81" s="49" t="str">
        <f aca="false">IF(OR(E81="",G81=""),"",G81-E81)</f>
        <v/>
      </c>
      <c r="J81" s="50" t="str">
        <f aca="false">IF(OR(E81="",G81="",E81=0),"",(G81-E81)/E81)</f>
        <v/>
      </c>
      <c r="K81" s="18" t="str">
        <f aca="false">IF(I81="","",IF(I81&gt;0,"▲ Progresa",IF(I81=0,"■ Estable","▼ Revisar")))</f>
        <v/>
      </c>
      <c r="L81" s="18"/>
      <c r="M81" s="18"/>
    </row>
    <row r="82" customFormat="false" ht="18" hidden="false" customHeight="true" outlineLevel="0" collapsed="false">
      <c r="B82" s="12" t="n">
        <v>5</v>
      </c>
      <c r="C82" s="44" t="str">
        <f aca="false">IF(D14="","",D14)</f>
        <v/>
      </c>
      <c r="D82" s="44"/>
      <c r="E82" s="45" t="str">
        <f aca="false">IF(K32="","",IF(ISNUMBER(K32),K32,IFERROR(IFERROR(LEFT(TRIM(RIGHT(SUBSTITUTE(SUBSTITUTE(K32,".",""),"-",REPT(" ",50)),50)),FIND(",",TRIM(RIGHT(SUBSTITUTE(SUBSTITUTE(K32,".",""),"-",REPT(" ",50)),50)))-1)*1,TRIM(RIGHT(SUBSTITUTE(SUBSTITUTE(K32,".",""),"-",REPT(" ",50)),50))*1)+IFERROR(MID(TRIM(RIGHT(SUBSTITUTE(SUBSTITUTE(K32,".",""),"-",REPT(" ",50)),50)),FIND(",",TRIM(RIGHT(SUBSTITUTE(SUBSTITUTE(K32,".",""),"-",REPT(" ",50)),50)))+1,9)/10^LEN(MID(TRIM(RIGHT(SUBSTITUTE(SUBSTITUTE(K32,".",""),"-",REPT(" ",50)),50)),FIND(",",TRIM(RIGHT(SUBSTITUTE(SUBSTITUTE(K32,".",""),"-",REPT(" ",50)),50)))+1,9)),0),"")))</f>
        <v/>
      </c>
      <c r="F82" s="45" t="str">
        <f aca="false">IF(K45="","",IF(ISNUMBER(K45),K45,IFERROR(IFERROR(LEFT(TRIM(RIGHT(SUBSTITUTE(SUBSTITUTE(K45,".",""),"-",REPT(" ",50)),50)),FIND(",",TRIM(RIGHT(SUBSTITUTE(SUBSTITUTE(K45,".",""),"-",REPT(" ",50)),50)))-1)*1,TRIM(RIGHT(SUBSTITUTE(SUBSTITUTE(K45,".",""),"-",REPT(" ",50)),50))*1)+IFERROR(MID(TRIM(RIGHT(SUBSTITUTE(SUBSTITUTE(K45,".",""),"-",REPT(" ",50)),50)),FIND(",",TRIM(RIGHT(SUBSTITUTE(SUBSTITUTE(K45,".",""),"-",REPT(" ",50)),50)))+1,9)/10^LEN(MID(TRIM(RIGHT(SUBSTITUTE(SUBSTITUTE(K45,".",""),"-",REPT(" ",50)),50)),FIND(",",TRIM(RIGHT(SUBSTITUTE(SUBSTITUTE(K45,".",""),"-",REPT(" ",50)),50)))+1,9)),0),"")))</f>
        <v/>
      </c>
      <c r="G82" s="45" t="str">
        <f aca="false">IF(K58="","",IF(ISNUMBER(K58),K58,IFERROR(IFERROR(LEFT(TRIM(RIGHT(SUBSTITUTE(SUBSTITUTE(K58,".",""),"-",REPT(" ",50)),50)),FIND(",",TRIM(RIGHT(SUBSTITUTE(SUBSTITUTE(K58,".",""),"-",REPT(" ",50)),50)))-1)*1,TRIM(RIGHT(SUBSTITUTE(SUBSTITUTE(K58,".",""),"-",REPT(" ",50)),50))*1)+IFERROR(MID(TRIM(RIGHT(SUBSTITUTE(SUBSTITUTE(K58,".",""),"-",REPT(" ",50)),50)),FIND(",",TRIM(RIGHT(SUBSTITUTE(SUBSTITUTE(K58,".",""),"-",REPT(" ",50)),50)))+1,9)/10^LEN(MID(TRIM(RIGHT(SUBSTITUTE(SUBSTITUTE(K58,".",""),"-",REPT(" ",50)),50)),FIND(",",TRIM(RIGHT(SUBSTITUTE(SUBSTITUTE(K58,".",""),"-",REPT(" ",50)),50)))+1,9)),0),"")))</f>
        <v/>
      </c>
      <c r="H82" s="45" t="str">
        <f aca="false">IF(K71="","",IF(ISNUMBER(K71),K71,IFERROR(IFERROR(LEFT(TRIM(RIGHT(SUBSTITUTE(SUBSTITUTE(K71,".",""),"-",REPT(" ",50)),50)),FIND(",",TRIM(RIGHT(SUBSTITUTE(SUBSTITUTE(K71,".",""),"-",REPT(" ",50)),50)))-1)*1,TRIM(RIGHT(SUBSTITUTE(SUBSTITUTE(K71,".",""),"-",REPT(" ",50)),50))*1)+IFERROR(MID(TRIM(RIGHT(SUBSTITUTE(SUBSTITUTE(K71,".",""),"-",REPT(" ",50)),50)),FIND(",",TRIM(RIGHT(SUBSTITUTE(SUBSTITUTE(K71,".",""),"-",REPT(" ",50)),50)))+1,9)/10^LEN(MID(TRIM(RIGHT(SUBSTITUTE(SUBSTITUTE(K71,".",""),"-",REPT(" ",50)),50)),FIND(",",TRIM(RIGHT(SUBSTITUTE(SUBSTITUTE(K71,".",""),"-",REPT(" ",50)),50)))+1,9)),0),"")))</f>
        <v/>
      </c>
      <c r="I82" s="46" t="str">
        <f aca="false">IF(OR(E82="",G82=""),"",G82-E82)</f>
        <v/>
      </c>
      <c r="J82" s="47" t="str">
        <f aca="false">IF(OR(E82="",G82="",E82=0),"",(G82-E82)/E82)</f>
        <v/>
      </c>
      <c r="K82" s="13" t="str">
        <f aca="false">IF(I82="","",IF(I82&gt;0,"▲ Progresa",IF(I82=0,"■ Estable","▼ Revisar")))</f>
        <v/>
      </c>
      <c r="L82" s="13"/>
      <c r="M82" s="13"/>
    </row>
    <row r="83" customFormat="false" ht="18" hidden="false" customHeight="true" outlineLevel="0" collapsed="false">
      <c r="B83" s="17" t="n">
        <v>6</v>
      </c>
      <c r="C83" s="39" t="str">
        <f aca="false">IF(D15="","",D15)</f>
        <v/>
      </c>
      <c r="D83" s="39"/>
      <c r="E83" s="48" t="str">
        <f aca="false">IF(K33="","",IF(ISNUMBER(K33),K33,IFERROR(IFERROR(LEFT(TRIM(RIGHT(SUBSTITUTE(SUBSTITUTE(K33,".",""),"-",REPT(" ",50)),50)),FIND(",",TRIM(RIGHT(SUBSTITUTE(SUBSTITUTE(K33,".",""),"-",REPT(" ",50)),50)))-1)*1,TRIM(RIGHT(SUBSTITUTE(SUBSTITUTE(K33,".",""),"-",REPT(" ",50)),50))*1)+IFERROR(MID(TRIM(RIGHT(SUBSTITUTE(SUBSTITUTE(K33,".",""),"-",REPT(" ",50)),50)),FIND(",",TRIM(RIGHT(SUBSTITUTE(SUBSTITUTE(K33,".",""),"-",REPT(" ",50)),50)))+1,9)/10^LEN(MID(TRIM(RIGHT(SUBSTITUTE(SUBSTITUTE(K33,".",""),"-",REPT(" ",50)),50)),FIND(",",TRIM(RIGHT(SUBSTITUTE(SUBSTITUTE(K33,".",""),"-",REPT(" ",50)),50)))+1,9)),0),"")))</f>
        <v/>
      </c>
      <c r="F83" s="48" t="str">
        <f aca="false">IF(K46="","",IF(ISNUMBER(K46),K46,IFERROR(IFERROR(LEFT(TRIM(RIGHT(SUBSTITUTE(SUBSTITUTE(K46,".",""),"-",REPT(" ",50)),50)),FIND(",",TRIM(RIGHT(SUBSTITUTE(SUBSTITUTE(K46,".",""),"-",REPT(" ",50)),50)))-1)*1,TRIM(RIGHT(SUBSTITUTE(SUBSTITUTE(K46,".",""),"-",REPT(" ",50)),50))*1)+IFERROR(MID(TRIM(RIGHT(SUBSTITUTE(SUBSTITUTE(K46,".",""),"-",REPT(" ",50)),50)),FIND(",",TRIM(RIGHT(SUBSTITUTE(SUBSTITUTE(K46,".",""),"-",REPT(" ",50)),50)))+1,9)/10^LEN(MID(TRIM(RIGHT(SUBSTITUTE(SUBSTITUTE(K46,".",""),"-",REPT(" ",50)),50)),FIND(",",TRIM(RIGHT(SUBSTITUTE(SUBSTITUTE(K46,".",""),"-",REPT(" ",50)),50)))+1,9)),0),"")))</f>
        <v/>
      </c>
      <c r="G83" s="48" t="str">
        <f aca="false">IF(K59="","",IF(ISNUMBER(K59),K59,IFERROR(IFERROR(LEFT(TRIM(RIGHT(SUBSTITUTE(SUBSTITUTE(K59,".",""),"-",REPT(" ",50)),50)),FIND(",",TRIM(RIGHT(SUBSTITUTE(SUBSTITUTE(K59,".",""),"-",REPT(" ",50)),50)))-1)*1,TRIM(RIGHT(SUBSTITUTE(SUBSTITUTE(K59,".",""),"-",REPT(" ",50)),50))*1)+IFERROR(MID(TRIM(RIGHT(SUBSTITUTE(SUBSTITUTE(K59,".",""),"-",REPT(" ",50)),50)),FIND(",",TRIM(RIGHT(SUBSTITUTE(SUBSTITUTE(K59,".",""),"-",REPT(" ",50)),50)))+1,9)/10^LEN(MID(TRIM(RIGHT(SUBSTITUTE(SUBSTITUTE(K59,".",""),"-",REPT(" ",50)),50)),FIND(",",TRIM(RIGHT(SUBSTITUTE(SUBSTITUTE(K59,".",""),"-",REPT(" ",50)),50)))+1,9)),0),"")))</f>
        <v/>
      </c>
      <c r="H83" s="48" t="str">
        <f aca="false">IF(K72="","",IF(ISNUMBER(K72),K72,IFERROR(IFERROR(LEFT(TRIM(RIGHT(SUBSTITUTE(SUBSTITUTE(K72,".",""),"-",REPT(" ",50)),50)),FIND(",",TRIM(RIGHT(SUBSTITUTE(SUBSTITUTE(K72,".",""),"-",REPT(" ",50)),50)))-1)*1,TRIM(RIGHT(SUBSTITUTE(SUBSTITUTE(K72,".",""),"-",REPT(" ",50)),50))*1)+IFERROR(MID(TRIM(RIGHT(SUBSTITUTE(SUBSTITUTE(K72,".",""),"-",REPT(" ",50)),50)),FIND(",",TRIM(RIGHT(SUBSTITUTE(SUBSTITUTE(K72,".",""),"-",REPT(" ",50)),50)))+1,9)/10^LEN(MID(TRIM(RIGHT(SUBSTITUTE(SUBSTITUTE(K72,".",""),"-",REPT(" ",50)),50)),FIND(",",TRIM(RIGHT(SUBSTITUTE(SUBSTITUTE(K72,".",""),"-",REPT(" ",50)),50)))+1,9)),0),"")))</f>
        <v/>
      </c>
      <c r="I83" s="49" t="str">
        <f aca="false">IF(OR(E83="",G83=""),"",G83-E83)</f>
        <v/>
      </c>
      <c r="J83" s="50" t="str">
        <f aca="false">IF(OR(E83="",G83="",E83=0),"",(G83-E83)/E83)</f>
        <v/>
      </c>
      <c r="K83" s="18" t="str">
        <f aca="false">IF(I83="","",IF(I83&gt;0,"▲ Progresa",IF(I83=0,"■ Estable","▼ Revisar")))</f>
        <v/>
      </c>
      <c r="L83" s="18"/>
      <c r="M83" s="18"/>
    </row>
    <row r="84" customFormat="false" ht="18" hidden="false" customHeight="true" outlineLevel="0" collapsed="false">
      <c r="B84" s="12" t="n">
        <v>7</v>
      </c>
      <c r="C84" s="44" t="str">
        <f aca="false">IF(D16="","",D16)</f>
        <v/>
      </c>
      <c r="D84" s="44"/>
      <c r="E84" s="45" t="str">
        <f aca="false">IF(K34="","",IF(ISNUMBER(K34),K34,IFERROR(IFERROR(LEFT(TRIM(RIGHT(SUBSTITUTE(SUBSTITUTE(K34,".",""),"-",REPT(" ",50)),50)),FIND(",",TRIM(RIGHT(SUBSTITUTE(SUBSTITUTE(K34,".",""),"-",REPT(" ",50)),50)))-1)*1,TRIM(RIGHT(SUBSTITUTE(SUBSTITUTE(K34,".",""),"-",REPT(" ",50)),50))*1)+IFERROR(MID(TRIM(RIGHT(SUBSTITUTE(SUBSTITUTE(K34,".",""),"-",REPT(" ",50)),50)),FIND(",",TRIM(RIGHT(SUBSTITUTE(SUBSTITUTE(K34,".",""),"-",REPT(" ",50)),50)))+1,9)/10^LEN(MID(TRIM(RIGHT(SUBSTITUTE(SUBSTITUTE(K34,".",""),"-",REPT(" ",50)),50)),FIND(",",TRIM(RIGHT(SUBSTITUTE(SUBSTITUTE(K34,".",""),"-",REPT(" ",50)),50)))+1,9)),0),"")))</f>
        <v/>
      </c>
      <c r="F84" s="45" t="str">
        <f aca="false">IF(K47="","",IF(ISNUMBER(K47),K47,IFERROR(IFERROR(LEFT(TRIM(RIGHT(SUBSTITUTE(SUBSTITUTE(K47,".",""),"-",REPT(" ",50)),50)),FIND(",",TRIM(RIGHT(SUBSTITUTE(SUBSTITUTE(K47,".",""),"-",REPT(" ",50)),50)))-1)*1,TRIM(RIGHT(SUBSTITUTE(SUBSTITUTE(K47,".",""),"-",REPT(" ",50)),50))*1)+IFERROR(MID(TRIM(RIGHT(SUBSTITUTE(SUBSTITUTE(K47,".",""),"-",REPT(" ",50)),50)),FIND(",",TRIM(RIGHT(SUBSTITUTE(SUBSTITUTE(K47,".",""),"-",REPT(" ",50)),50)))+1,9)/10^LEN(MID(TRIM(RIGHT(SUBSTITUTE(SUBSTITUTE(K47,".",""),"-",REPT(" ",50)),50)),FIND(",",TRIM(RIGHT(SUBSTITUTE(SUBSTITUTE(K47,".",""),"-",REPT(" ",50)),50)))+1,9)),0),"")))</f>
        <v/>
      </c>
      <c r="G84" s="45" t="str">
        <f aca="false">IF(K60="","",IF(ISNUMBER(K60),K60,IFERROR(IFERROR(LEFT(TRIM(RIGHT(SUBSTITUTE(SUBSTITUTE(K60,".",""),"-",REPT(" ",50)),50)),FIND(",",TRIM(RIGHT(SUBSTITUTE(SUBSTITUTE(K60,".",""),"-",REPT(" ",50)),50)))-1)*1,TRIM(RIGHT(SUBSTITUTE(SUBSTITUTE(K60,".",""),"-",REPT(" ",50)),50))*1)+IFERROR(MID(TRIM(RIGHT(SUBSTITUTE(SUBSTITUTE(K60,".",""),"-",REPT(" ",50)),50)),FIND(",",TRIM(RIGHT(SUBSTITUTE(SUBSTITUTE(K60,".",""),"-",REPT(" ",50)),50)))+1,9)/10^LEN(MID(TRIM(RIGHT(SUBSTITUTE(SUBSTITUTE(K60,".",""),"-",REPT(" ",50)),50)),FIND(",",TRIM(RIGHT(SUBSTITUTE(SUBSTITUTE(K60,".",""),"-",REPT(" ",50)),50)))+1,9)),0),"")))</f>
        <v/>
      </c>
      <c r="H84" s="45" t="str">
        <f aca="false">IF(K73="","",IF(ISNUMBER(K73),K73,IFERROR(IFERROR(LEFT(TRIM(RIGHT(SUBSTITUTE(SUBSTITUTE(K73,".",""),"-",REPT(" ",50)),50)),FIND(",",TRIM(RIGHT(SUBSTITUTE(SUBSTITUTE(K73,".",""),"-",REPT(" ",50)),50)))-1)*1,TRIM(RIGHT(SUBSTITUTE(SUBSTITUTE(K73,".",""),"-",REPT(" ",50)),50))*1)+IFERROR(MID(TRIM(RIGHT(SUBSTITUTE(SUBSTITUTE(K73,".",""),"-",REPT(" ",50)),50)),FIND(",",TRIM(RIGHT(SUBSTITUTE(SUBSTITUTE(K73,".",""),"-",REPT(" ",50)),50)))+1,9)/10^LEN(MID(TRIM(RIGHT(SUBSTITUTE(SUBSTITUTE(K73,".",""),"-",REPT(" ",50)),50)),FIND(",",TRIM(RIGHT(SUBSTITUTE(SUBSTITUTE(K73,".",""),"-",REPT(" ",50)),50)))+1,9)),0),"")))</f>
        <v/>
      </c>
      <c r="I84" s="46" t="str">
        <f aca="false">IF(OR(E84="",G84=""),"",G84-E84)</f>
        <v/>
      </c>
      <c r="J84" s="47" t="str">
        <f aca="false">IF(OR(E84="",G84="",E84=0),"",(G84-E84)/E84)</f>
        <v/>
      </c>
      <c r="K84" s="13" t="str">
        <f aca="false">IF(I84="","",IF(I84&gt;0,"▲ Progresa",IF(I84=0,"■ Estable","▼ Revisar")))</f>
        <v/>
      </c>
      <c r="L84" s="13"/>
      <c r="M84" s="13"/>
    </row>
    <row r="85" customFormat="false" ht="18" hidden="false" customHeight="true" outlineLevel="0" collapsed="false">
      <c r="B85" s="17" t="n">
        <v>8</v>
      </c>
      <c r="C85" s="39" t="str">
        <f aca="false">IF(D17="","",D17)</f>
        <v/>
      </c>
      <c r="D85" s="39"/>
      <c r="E85" s="48" t="str">
        <f aca="false">IF(K35="","",IF(ISNUMBER(K35),K35,IFERROR(IFERROR(LEFT(TRIM(RIGHT(SUBSTITUTE(SUBSTITUTE(K35,".",""),"-",REPT(" ",50)),50)),FIND(",",TRIM(RIGHT(SUBSTITUTE(SUBSTITUTE(K35,".",""),"-",REPT(" ",50)),50)))-1)*1,TRIM(RIGHT(SUBSTITUTE(SUBSTITUTE(K35,".",""),"-",REPT(" ",50)),50))*1)+IFERROR(MID(TRIM(RIGHT(SUBSTITUTE(SUBSTITUTE(K35,".",""),"-",REPT(" ",50)),50)),FIND(",",TRIM(RIGHT(SUBSTITUTE(SUBSTITUTE(K35,".",""),"-",REPT(" ",50)),50)))+1,9)/10^LEN(MID(TRIM(RIGHT(SUBSTITUTE(SUBSTITUTE(K35,".",""),"-",REPT(" ",50)),50)),FIND(",",TRIM(RIGHT(SUBSTITUTE(SUBSTITUTE(K35,".",""),"-",REPT(" ",50)),50)))+1,9)),0),"")))</f>
        <v/>
      </c>
      <c r="F85" s="48" t="str">
        <f aca="false">IF(K48="","",IF(ISNUMBER(K48),K48,IFERROR(IFERROR(LEFT(TRIM(RIGHT(SUBSTITUTE(SUBSTITUTE(K48,".",""),"-",REPT(" ",50)),50)),FIND(",",TRIM(RIGHT(SUBSTITUTE(SUBSTITUTE(K48,".",""),"-",REPT(" ",50)),50)))-1)*1,TRIM(RIGHT(SUBSTITUTE(SUBSTITUTE(K48,".",""),"-",REPT(" ",50)),50))*1)+IFERROR(MID(TRIM(RIGHT(SUBSTITUTE(SUBSTITUTE(K48,".",""),"-",REPT(" ",50)),50)),FIND(",",TRIM(RIGHT(SUBSTITUTE(SUBSTITUTE(K48,".",""),"-",REPT(" ",50)),50)))+1,9)/10^LEN(MID(TRIM(RIGHT(SUBSTITUTE(SUBSTITUTE(K48,".",""),"-",REPT(" ",50)),50)),FIND(",",TRIM(RIGHT(SUBSTITUTE(SUBSTITUTE(K48,".",""),"-",REPT(" ",50)),50)))+1,9)),0),"")))</f>
        <v/>
      </c>
      <c r="G85" s="48" t="str">
        <f aca="false">IF(K61="","",IF(ISNUMBER(K61),K61,IFERROR(IFERROR(LEFT(TRIM(RIGHT(SUBSTITUTE(SUBSTITUTE(K61,".",""),"-",REPT(" ",50)),50)),FIND(",",TRIM(RIGHT(SUBSTITUTE(SUBSTITUTE(K61,".",""),"-",REPT(" ",50)),50)))-1)*1,TRIM(RIGHT(SUBSTITUTE(SUBSTITUTE(K61,".",""),"-",REPT(" ",50)),50))*1)+IFERROR(MID(TRIM(RIGHT(SUBSTITUTE(SUBSTITUTE(K61,".",""),"-",REPT(" ",50)),50)),FIND(",",TRIM(RIGHT(SUBSTITUTE(SUBSTITUTE(K61,".",""),"-",REPT(" ",50)),50)))+1,9)/10^LEN(MID(TRIM(RIGHT(SUBSTITUTE(SUBSTITUTE(K61,".",""),"-",REPT(" ",50)),50)),FIND(",",TRIM(RIGHT(SUBSTITUTE(SUBSTITUTE(K61,".",""),"-",REPT(" ",50)),50)))+1,9)),0),"")))</f>
        <v/>
      </c>
      <c r="H85" s="48" t="str">
        <f aca="false">IF(K74="","",IF(ISNUMBER(K74),K74,IFERROR(IFERROR(LEFT(TRIM(RIGHT(SUBSTITUTE(SUBSTITUTE(K74,".",""),"-",REPT(" ",50)),50)),FIND(",",TRIM(RIGHT(SUBSTITUTE(SUBSTITUTE(K74,".",""),"-",REPT(" ",50)),50)))-1)*1,TRIM(RIGHT(SUBSTITUTE(SUBSTITUTE(K74,".",""),"-",REPT(" ",50)),50))*1)+IFERROR(MID(TRIM(RIGHT(SUBSTITUTE(SUBSTITUTE(K74,".",""),"-",REPT(" ",50)),50)),FIND(",",TRIM(RIGHT(SUBSTITUTE(SUBSTITUTE(K74,".",""),"-",REPT(" ",50)),50)))+1,9)/10^LEN(MID(TRIM(RIGHT(SUBSTITUTE(SUBSTITUTE(K74,".",""),"-",REPT(" ",50)),50)),FIND(",",TRIM(RIGHT(SUBSTITUTE(SUBSTITUTE(K74,".",""),"-",REPT(" ",50)),50)))+1,9)),0),"")))</f>
        <v/>
      </c>
      <c r="I85" s="49" t="str">
        <f aca="false">IF(OR(E85="",G85=""),"",G85-E85)</f>
        <v/>
      </c>
      <c r="J85" s="50" t="str">
        <f aca="false">IF(OR(E85="",G85="",E85=0),"",(G85-E85)/E85)</f>
        <v/>
      </c>
      <c r="K85" s="18" t="str">
        <f aca="false">IF(I85="","",IF(I85&gt;0,"▲ Progresa",IF(I85=0,"■ Estable","▼ Revisar")))</f>
        <v/>
      </c>
      <c r="L85" s="18"/>
      <c r="M85" s="18"/>
    </row>
    <row r="86" customFormat="false" ht="15" hidden="false" customHeight="true" outlineLevel="0" collapsed="false">
      <c r="B86" s="51" t="s">
        <v>95</v>
      </c>
    </row>
    <row r="88" customFormat="false" ht="19.5" hidden="false" customHeight="true" outlineLevel="0" collapsed="false">
      <c r="B88" s="52" t="s">
        <v>96</v>
      </c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</row>
    <row r="89" customFormat="false" ht="18" hidden="false" customHeight="true" outlineLevel="0" collapsed="false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</row>
    <row r="90" customFormat="false" ht="18" hidden="false" customHeight="true" outlineLevel="0" collapsed="false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</row>
    <row r="91" customFormat="false" ht="18" hidden="false" customHeight="true" outlineLevel="0" collapsed="false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</row>
    <row r="93" customFormat="false" ht="19.5" hidden="false" customHeight="true" outlineLevel="0" collapsed="false">
      <c r="B93" s="53" t="s">
        <v>97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customFormat="false" ht="18" hidden="false" customHeight="true" outlineLevel="0" collapsed="false"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</row>
    <row r="95" customFormat="false" ht="18" hidden="false" customHeight="true" outlineLevel="0" collapsed="false"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</row>
    <row r="96" customFormat="false" ht="18" hidden="false" customHeight="true" outlineLevel="0" collapsed="false"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</row>
    <row r="98" customFormat="false" ht="19.5" hidden="false" customHeight="true" outlineLevel="0" collapsed="false">
      <c r="B98" s="4" t="s">
        <v>98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customFormat="false" ht="18" hidden="false" customHeight="true" outlineLevel="0" collapsed="false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</row>
    <row r="100" customFormat="false" ht="18" hidden="false" customHeight="true" outlineLevel="0" collapsed="false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 customFormat="false" ht="18" hidden="false" customHeight="true" outlineLevel="0" collapsed="false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</row>
  </sheetData>
  <mergeCells count="111">
    <mergeCell ref="B2:M2"/>
    <mergeCell ref="B3:M3"/>
    <mergeCell ref="C5:D5"/>
    <mergeCell ref="F5:I5"/>
    <mergeCell ref="K5:M5"/>
    <mergeCell ref="B6:M6"/>
    <mergeCell ref="B8:M8"/>
    <mergeCell ref="H9:L9"/>
    <mergeCell ref="H10:L10"/>
    <mergeCell ref="H11:L11"/>
    <mergeCell ref="H12:L12"/>
    <mergeCell ref="H13:L13"/>
    <mergeCell ref="H14:L14"/>
    <mergeCell ref="H15:L15"/>
    <mergeCell ref="H16:L16"/>
    <mergeCell ref="H17:L17"/>
    <mergeCell ref="B19:M19"/>
    <mergeCell ref="B20:M20"/>
    <mergeCell ref="B21:M21"/>
    <mergeCell ref="B22:M22"/>
    <mergeCell ref="B24:M24"/>
    <mergeCell ref="B25:C25"/>
    <mergeCell ref="E25:F25"/>
    <mergeCell ref="H25:J25"/>
    <mergeCell ref="E26:H26"/>
    <mergeCell ref="I26:L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B37:M37"/>
    <mergeCell ref="B38:C38"/>
    <mergeCell ref="E38:F38"/>
    <mergeCell ref="H38:J38"/>
    <mergeCell ref="E39:H39"/>
    <mergeCell ref="I39:L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B50:M50"/>
    <mergeCell ref="B51:C51"/>
    <mergeCell ref="E51:F51"/>
    <mergeCell ref="H51:J51"/>
    <mergeCell ref="E52:H52"/>
    <mergeCell ref="I52:L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B63:M63"/>
    <mergeCell ref="B64:C64"/>
    <mergeCell ref="E64:F64"/>
    <mergeCell ref="H64:J64"/>
    <mergeCell ref="E65:H65"/>
    <mergeCell ref="I65:L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B76:M76"/>
    <mergeCell ref="C77:D77"/>
    <mergeCell ref="K77:M77"/>
    <mergeCell ref="C78:D78"/>
    <mergeCell ref="K78:M78"/>
    <mergeCell ref="C79:D79"/>
    <mergeCell ref="K79:M79"/>
    <mergeCell ref="C80:D80"/>
    <mergeCell ref="K80:M80"/>
    <mergeCell ref="C81:D81"/>
    <mergeCell ref="K81:M81"/>
    <mergeCell ref="C82:D82"/>
    <mergeCell ref="K82:M82"/>
    <mergeCell ref="C83:D83"/>
    <mergeCell ref="K83:M83"/>
    <mergeCell ref="C84:D84"/>
    <mergeCell ref="K84:M84"/>
    <mergeCell ref="C85:D85"/>
    <mergeCell ref="K85:M85"/>
    <mergeCell ref="B88:M88"/>
    <mergeCell ref="B89:M89"/>
    <mergeCell ref="B90:M90"/>
    <mergeCell ref="B91:M91"/>
    <mergeCell ref="B93:M93"/>
    <mergeCell ref="B94:M94"/>
    <mergeCell ref="B95:M95"/>
    <mergeCell ref="B96:M96"/>
    <mergeCell ref="B98:M98"/>
    <mergeCell ref="B99:M99"/>
    <mergeCell ref="B100:M100"/>
    <mergeCell ref="B101:M101"/>
  </mergeCells>
  <conditionalFormatting sqref="K78:K85">
    <cfRule type="expression" priority="2" aboveAverage="0" equalAverage="0" bottom="0" percent="0" rank="0" text="" dxfId="0">
      <formula>LEFT(K78,1)="▲"</formula>
    </cfRule>
    <cfRule type="expression" priority="3" aboveAverage="0" equalAverage="0" bottom="0" percent="0" rank="0" text="" dxfId="1">
      <formula>LEFT(K78,1)="▼"</formula>
    </cfRule>
  </conditionalFormatting>
  <dataValidations count="2">
    <dataValidation allowBlank="true" errorStyle="stop" operator="between" showDropDown="false" showErrorMessage="false" showInputMessage="false" sqref="D10:D17" type="list">
      <formula1>Biblioteca!$C$6:$C$150</formula1>
      <formula2>0</formula2>
    </dataValidation>
    <dataValidation allowBlank="true" errorStyle="stop" operator="between" showDropDown="false" showErrorMessage="false" showInputMessage="false" sqref="E10:E17" type="list">
      <formula1>"Pecho,Espalda,Hombro,Bíceps,Tríceps,Cuádriceps,Isquios,Glúteo,Gemelo,Core,Full body,Cardio"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Tactical Biscuit Training  ·  Página &amp;P de &amp;N</oddFooter>
  </headerFooter>
  <rowBreaks count="2" manualBreakCount="2">
    <brk id="36" man="true" max="16383" min="0"/>
    <brk id="62" man="true" max="16383" min="0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5"/>
    <col collapsed="false" customWidth="true" hidden="false" outlineLevel="0" max="3" min="3" style="1" width="14"/>
    <col collapsed="false" customWidth="true" hidden="false" outlineLevel="0" max="4" min="4" style="1" width="26"/>
    <col collapsed="false" customWidth="true" hidden="false" outlineLevel="0" max="5" min="5" style="1" width="11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12" min="8" style="1" width="10"/>
    <col collapsed="false" customWidth="true" hidden="false" outlineLevel="0" max="13" min="13" style="1" width="26"/>
  </cols>
  <sheetData>
    <row r="2" customFormat="false" ht="36" hidden="false" customHeight="true" outlineLevel="0" collapsed="false">
      <c r="B2" s="2" t="s">
        <v>101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9.5" hidden="false" customHeight="true" outlineLevel="0" collapsed="false">
      <c r="B3" s="3" t="s">
        <v>61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21.75" hidden="false" customHeight="true" outlineLevel="0" collapsed="false">
      <c r="B5" s="26" t="s">
        <v>3</v>
      </c>
      <c r="C5" s="27" t="str">
        <f aca="false">IF(Resumen!C6="","",Resumen!C6)</f>
        <v/>
      </c>
      <c r="D5" s="27"/>
      <c r="E5" s="26" t="s">
        <v>62</v>
      </c>
      <c r="F5" s="27" t="str">
        <f aca="false">IF(Resumen!D25="","",Resumen!D25)</f>
        <v/>
      </c>
      <c r="G5" s="27"/>
      <c r="H5" s="27"/>
      <c r="I5" s="27"/>
      <c r="J5" s="26" t="s">
        <v>63</v>
      </c>
      <c r="K5" s="27" t="str">
        <f aca="false">IF(Resumen!C25="","",Resumen!C25)</f>
        <v/>
      </c>
      <c r="L5" s="27"/>
      <c r="M5" s="27"/>
    </row>
    <row r="6" customFormat="false" ht="15" hidden="false" customHeight="true" outlineLevel="0" collapsed="false">
      <c r="B6" s="28" t="s">
        <v>64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</row>
    <row r="8" customFormat="false" ht="19.5" hidden="false" customHeight="true" outlineLevel="0" collapsed="false">
      <c r="B8" s="4" t="s">
        <v>65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24" hidden="false" customHeight="true" outlineLevel="0" collapsed="false">
      <c r="B9" s="11" t="s">
        <v>66</v>
      </c>
      <c r="C9" s="11" t="s">
        <v>67</v>
      </c>
      <c r="D9" s="11" t="s">
        <v>68</v>
      </c>
      <c r="E9" s="11" t="s">
        <v>69</v>
      </c>
      <c r="F9" s="11" t="s">
        <v>70</v>
      </c>
      <c r="G9" s="11" t="s">
        <v>71</v>
      </c>
      <c r="H9" s="11" t="s">
        <v>72</v>
      </c>
      <c r="I9" s="11"/>
      <c r="J9" s="11"/>
      <c r="K9" s="11"/>
      <c r="L9" s="11"/>
      <c r="M9" s="11" t="s">
        <v>73</v>
      </c>
    </row>
    <row r="10" customFormat="false" ht="43.5" hidden="false" customHeight="true" outlineLevel="0" collapsed="false">
      <c r="B10" s="17" t="n">
        <v>1</v>
      </c>
      <c r="C10" s="29" t="s">
        <v>74</v>
      </c>
      <c r="D10" s="6"/>
      <c r="E10" s="14"/>
      <c r="F10" s="14"/>
      <c r="G10" s="14"/>
      <c r="H10" s="16"/>
      <c r="I10" s="16"/>
      <c r="J10" s="16"/>
      <c r="K10" s="16"/>
      <c r="L10" s="16"/>
      <c r="M10" s="30" t="str">
        <f aca="false">IF(D10="","",HYPERLINK(IF(IFERROR(INDEX(Biblioteca!$E$6:$E$150,MATCH(D10,Biblioteca!$C$6:$C$150,0))&amp;"","")&lt;&gt;"",IFERROR(INDEX(Biblioteca!$E$6:$E$150,MATCH(D10,Biblioteca!$C$6:$C$150,0))&amp;"",""),"https://www.youtube.com/results?search_query="&amp;SUBSTITUTE(TRIM(D10)," ","+")&amp;"+técnica"),IF(IFERROR(INDEX(Biblioteca!$E$6:$E$150,MATCH(D10,Biblioteca!$C$6:$C$150,0))&amp;"","")&lt;&gt;"","▶ Mi vídeo","▶ Ver vídeo")))</f>
        <v/>
      </c>
    </row>
    <row r="11" customFormat="false" ht="43.5" hidden="false" customHeight="true" outlineLevel="0" collapsed="false">
      <c r="B11" s="17" t="n">
        <v>2</v>
      </c>
      <c r="C11" s="29" t="s">
        <v>74</v>
      </c>
      <c r="D11" s="6"/>
      <c r="E11" s="14"/>
      <c r="F11" s="14"/>
      <c r="G11" s="14"/>
      <c r="H11" s="16"/>
      <c r="I11" s="16"/>
      <c r="J11" s="16"/>
      <c r="K11" s="16"/>
      <c r="L11" s="16"/>
      <c r="M11" s="30" t="str">
        <f aca="false">IF(D11="","",HYPERLINK(IF(IFERROR(INDEX(Biblioteca!$E$6:$E$150,MATCH(D11,Biblioteca!$C$6:$C$150,0))&amp;"","")&lt;&gt;"",IFERROR(INDEX(Biblioteca!$E$6:$E$150,MATCH(D11,Biblioteca!$C$6:$C$150,0))&amp;"",""),"https://www.youtube.com/results?search_query="&amp;SUBSTITUTE(TRIM(D11)," ","+")&amp;"+técnica"),IF(IFERROR(INDEX(Biblioteca!$E$6:$E$150,MATCH(D11,Biblioteca!$C$6:$C$150,0))&amp;"","")&lt;&gt;"","▶ Mi vídeo","▶ Ver vídeo")))</f>
        <v/>
      </c>
    </row>
    <row r="12" customFormat="false" ht="43.5" hidden="false" customHeight="true" outlineLevel="0" collapsed="false">
      <c r="B12" s="17" t="n">
        <v>3</v>
      </c>
      <c r="C12" s="29" t="s">
        <v>74</v>
      </c>
      <c r="D12" s="6"/>
      <c r="E12" s="14"/>
      <c r="F12" s="14"/>
      <c r="G12" s="14"/>
      <c r="H12" s="16"/>
      <c r="I12" s="16"/>
      <c r="J12" s="16"/>
      <c r="K12" s="16"/>
      <c r="L12" s="16"/>
      <c r="M12" s="30" t="str">
        <f aca="false">IF(D12="","",HYPERLINK(IF(IFERROR(INDEX(Biblioteca!$E$6:$E$150,MATCH(D12,Biblioteca!$C$6:$C$150,0))&amp;"","")&lt;&gt;"",IFERROR(INDEX(Biblioteca!$E$6:$E$150,MATCH(D12,Biblioteca!$C$6:$C$150,0))&amp;"",""),"https://www.youtube.com/results?search_query="&amp;SUBSTITUTE(TRIM(D12)," ","+")&amp;"+técnica"),IF(IFERROR(INDEX(Biblioteca!$E$6:$E$150,MATCH(D12,Biblioteca!$C$6:$C$150,0))&amp;"","")&lt;&gt;"","▶ Mi vídeo","▶ Ver vídeo")))</f>
        <v/>
      </c>
    </row>
    <row r="13" customFormat="false" ht="43.5" hidden="false" customHeight="true" outlineLevel="0" collapsed="false">
      <c r="B13" s="17" t="n">
        <v>4</v>
      </c>
      <c r="C13" s="29" t="s">
        <v>74</v>
      </c>
      <c r="D13" s="6"/>
      <c r="E13" s="14"/>
      <c r="F13" s="14"/>
      <c r="G13" s="14"/>
      <c r="H13" s="16"/>
      <c r="I13" s="16"/>
      <c r="J13" s="16"/>
      <c r="K13" s="16"/>
      <c r="L13" s="16"/>
      <c r="M13" s="30" t="str">
        <f aca="false">IF(D13="","",HYPERLINK(IF(IFERROR(INDEX(Biblioteca!$E$6:$E$150,MATCH(D13,Biblioteca!$C$6:$C$150,0))&amp;"","")&lt;&gt;"",IFERROR(INDEX(Biblioteca!$E$6:$E$150,MATCH(D13,Biblioteca!$C$6:$C$150,0))&amp;"",""),"https://www.youtube.com/results?search_query="&amp;SUBSTITUTE(TRIM(D13)," ","+")&amp;"+técnica"),IF(IFERROR(INDEX(Biblioteca!$E$6:$E$150,MATCH(D13,Biblioteca!$C$6:$C$150,0))&amp;"","")&lt;&gt;"","▶ Mi vídeo","▶ Ver vídeo")))</f>
        <v/>
      </c>
    </row>
    <row r="14" customFormat="false" ht="43.5" hidden="false" customHeight="true" outlineLevel="0" collapsed="false">
      <c r="B14" s="17" t="n">
        <v>5</v>
      </c>
      <c r="C14" s="29" t="s">
        <v>74</v>
      </c>
      <c r="D14" s="6"/>
      <c r="E14" s="14"/>
      <c r="F14" s="14"/>
      <c r="G14" s="14"/>
      <c r="H14" s="16"/>
      <c r="I14" s="16"/>
      <c r="J14" s="16"/>
      <c r="K14" s="16"/>
      <c r="L14" s="16"/>
      <c r="M14" s="30" t="str">
        <f aca="false">IF(D14="","",HYPERLINK(IF(IFERROR(INDEX(Biblioteca!$E$6:$E$150,MATCH(D14,Biblioteca!$C$6:$C$150,0))&amp;"","")&lt;&gt;"",IFERROR(INDEX(Biblioteca!$E$6:$E$150,MATCH(D14,Biblioteca!$C$6:$C$150,0))&amp;"",""),"https://www.youtube.com/results?search_query="&amp;SUBSTITUTE(TRIM(D14)," ","+")&amp;"+técnica"),IF(IFERROR(INDEX(Biblioteca!$E$6:$E$150,MATCH(D14,Biblioteca!$C$6:$C$150,0))&amp;"","")&lt;&gt;"","▶ Mi vídeo","▶ Ver vídeo")))</f>
        <v/>
      </c>
    </row>
    <row r="15" customFormat="false" ht="43.5" hidden="false" customHeight="true" outlineLevel="0" collapsed="false">
      <c r="B15" s="17" t="n">
        <v>6</v>
      </c>
      <c r="C15" s="29" t="s">
        <v>74</v>
      </c>
      <c r="D15" s="6"/>
      <c r="E15" s="14"/>
      <c r="F15" s="14"/>
      <c r="G15" s="14"/>
      <c r="H15" s="16"/>
      <c r="I15" s="16"/>
      <c r="J15" s="16"/>
      <c r="K15" s="16"/>
      <c r="L15" s="16"/>
      <c r="M15" s="30" t="str">
        <f aca="false">IF(D15="","",HYPERLINK(IF(IFERROR(INDEX(Biblioteca!$E$6:$E$150,MATCH(D15,Biblioteca!$C$6:$C$150,0))&amp;"","")&lt;&gt;"",IFERROR(INDEX(Biblioteca!$E$6:$E$150,MATCH(D15,Biblioteca!$C$6:$C$150,0))&amp;"",""),"https://www.youtube.com/results?search_query="&amp;SUBSTITUTE(TRIM(D15)," ","+")&amp;"+técnica"),IF(IFERROR(INDEX(Biblioteca!$E$6:$E$150,MATCH(D15,Biblioteca!$C$6:$C$150,0))&amp;"","")&lt;&gt;"","▶ Mi vídeo","▶ Ver vídeo")))</f>
        <v/>
      </c>
    </row>
    <row r="16" customFormat="false" ht="43.5" hidden="false" customHeight="true" outlineLevel="0" collapsed="false">
      <c r="B16" s="17" t="n">
        <v>7</v>
      </c>
      <c r="C16" s="29" t="s">
        <v>74</v>
      </c>
      <c r="D16" s="6"/>
      <c r="E16" s="14"/>
      <c r="F16" s="14"/>
      <c r="G16" s="14"/>
      <c r="H16" s="16"/>
      <c r="I16" s="16"/>
      <c r="J16" s="16"/>
      <c r="K16" s="16"/>
      <c r="L16" s="16"/>
      <c r="M16" s="30" t="str">
        <f aca="false">IF(D16="","",HYPERLINK(IF(IFERROR(INDEX(Biblioteca!$E$6:$E$150,MATCH(D16,Biblioteca!$C$6:$C$150,0))&amp;"","")&lt;&gt;"",IFERROR(INDEX(Biblioteca!$E$6:$E$150,MATCH(D16,Biblioteca!$C$6:$C$150,0))&amp;"",""),"https://www.youtube.com/results?search_query="&amp;SUBSTITUTE(TRIM(D16)," ","+")&amp;"+técnica"),IF(IFERROR(INDEX(Biblioteca!$E$6:$E$150,MATCH(D16,Biblioteca!$C$6:$C$150,0))&amp;"","")&lt;&gt;"","▶ Mi vídeo","▶ Ver vídeo")))</f>
        <v/>
      </c>
    </row>
    <row r="17" customFormat="false" ht="43.5" hidden="false" customHeight="true" outlineLevel="0" collapsed="false">
      <c r="B17" s="17" t="n">
        <v>8</v>
      </c>
      <c r="C17" s="29" t="s">
        <v>74</v>
      </c>
      <c r="D17" s="6"/>
      <c r="E17" s="14"/>
      <c r="F17" s="14"/>
      <c r="G17" s="14"/>
      <c r="H17" s="16"/>
      <c r="I17" s="16"/>
      <c r="J17" s="16"/>
      <c r="K17" s="16"/>
      <c r="L17" s="16"/>
      <c r="M17" s="30" t="str">
        <f aca="false">IF(D17="","",HYPERLINK(IF(IFERROR(INDEX(Biblioteca!$E$6:$E$150,MATCH(D17,Biblioteca!$C$6:$C$150,0))&amp;"","")&lt;&gt;"",IFERROR(INDEX(Biblioteca!$E$6:$E$150,MATCH(D17,Biblioteca!$C$6:$C$150,0))&amp;"",""),"https://www.youtube.com/results?search_query="&amp;SUBSTITUTE(TRIM(D17)," ","+")&amp;"+técnica"),IF(IFERROR(INDEX(Biblioteca!$E$6:$E$150,MATCH(D17,Biblioteca!$C$6:$C$150,0))&amp;"","")&lt;&gt;"","▶ Mi vídeo","▶ Ver vídeo")))</f>
        <v/>
      </c>
    </row>
    <row r="19" customFormat="false" ht="19.5" hidden="false" customHeight="true" outlineLevel="0" collapsed="false">
      <c r="B19" s="31" t="s">
        <v>75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customFormat="false" ht="18" hidden="false" customHeight="true" outlineLevel="0" collapsed="false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customFormat="false" ht="18" hidden="false" customHeight="true" outlineLevel="0" collapsed="false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customFormat="false" ht="18" hidden="false" customHeight="true" outlineLevel="0" collapsed="false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4" customFormat="false" ht="21.75" hidden="false" customHeight="true" outlineLevel="0" collapsed="false">
      <c r="B24" s="4" t="str">
        <f aca="false">"SEMANA 1  ·  "&amp;UPPER(Resumen!D15)&amp;"  ·  RIR objetivo "&amp;Resumen!E15&amp;IF(Resumen!C15="","","  ·  "&amp;Resumen!C15)</f>
        <v>SEMANA 1  ·  ADAPTACIÓN  ·  RIR objetivo 3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customFormat="false" ht="19.5" hidden="false" customHeight="true" outlineLevel="0" collapsed="false">
      <c r="B25" s="32" t="s">
        <v>76</v>
      </c>
      <c r="C25" s="32"/>
      <c r="D25" s="33"/>
      <c r="E25" s="32" t="s">
        <v>77</v>
      </c>
      <c r="F25" s="32"/>
      <c r="G25" s="34"/>
      <c r="H25" s="32" t="s">
        <v>78</v>
      </c>
      <c r="I25" s="32"/>
      <c r="J25" s="32"/>
      <c r="K25" s="34"/>
    </row>
    <row r="26" customFormat="false" ht="15" hidden="false" customHeight="true" outlineLevel="0" collapsed="false">
      <c r="E26" s="35" t="s">
        <v>79</v>
      </c>
      <c r="F26" s="35"/>
      <c r="G26" s="35"/>
      <c r="H26" s="35"/>
      <c r="I26" s="36" t="s">
        <v>80</v>
      </c>
      <c r="J26" s="36"/>
      <c r="K26" s="36"/>
      <c r="L26" s="36"/>
    </row>
    <row r="27" customFormat="false" ht="19.5" hidden="false" customHeight="true" outlineLevel="0" collapsed="false">
      <c r="B27" s="37" t="s">
        <v>66</v>
      </c>
      <c r="C27" s="37" t="s">
        <v>68</v>
      </c>
      <c r="D27" s="37"/>
      <c r="E27" s="37" t="s">
        <v>81</v>
      </c>
      <c r="F27" s="37" t="s">
        <v>82</v>
      </c>
      <c r="G27" s="37" t="s">
        <v>83</v>
      </c>
      <c r="H27" s="37" t="s">
        <v>84</v>
      </c>
      <c r="I27" s="38" t="s">
        <v>81</v>
      </c>
      <c r="J27" s="38" t="s">
        <v>82</v>
      </c>
      <c r="K27" s="38" t="s">
        <v>85</v>
      </c>
      <c r="L27" s="38" t="s">
        <v>51</v>
      </c>
      <c r="M27" s="37" t="s">
        <v>86</v>
      </c>
    </row>
    <row r="28" customFormat="false" ht="19.5" hidden="false" customHeight="true" outlineLevel="0" collapsed="false">
      <c r="B28" s="17" t="n">
        <v>1</v>
      </c>
      <c r="C28" s="39" t="str">
        <f aca="false">IF(D10="","",D10)</f>
        <v/>
      </c>
      <c r="D28" s="39"/>
      <c r="E28" s="14"/>
      <c r="F28" s="14"/>
      <c r="G28" s="40"/>
      <c r="H28" s="14" t="str">
        <f aca="false">IF($C28="","",Resumen!$E$15)</f>
        <v/>
      </c>
      <c r="I28" s="34"/>
      <c r="J28" s="41"/>
      <c r="K28" s="41"/>
      <c r="L28" s="34"/>
      <c r="M28" s="42"/>
    </row>
    <row r="29" customFormat="false" ht="19.5" hidden="false" customHeight="true" outlineLevel="0" collapsed="false">
      <c r="B29" s="17" t="n">
        <v>2</v>
      </c>
      <c r="C29" s="39" t="str">
        <f aca="false">IF(D11="","",D11)</f>
        <v/>
      </c>
      <c r="D29" s="39"/>
      <c r="E29" s="14"/>
      <c r="F29" s="14"/>
      <c r="G29" s="40"/>
      <c r="H29" s="14" t="str">
        <f aca="false">IF($C29="","",Resumen!$E$15)</f>
        <v/>
      </c>
      <c r="I29" s="34"/>
      <c r="J29" s="41"/>
      <c r="K29" s="41"/>
      <c r="L29" s="34"/>
      <c r="M29" s="42"/>
    </row>
    <row r="30" customFormat="false" ht="19.5" hidden="false" customHeight="true" outlineLevel="0" collapsed="false">
      <c r="B30" s="17" t="n">
        <v>3</v>
      </c>
      <c r="C30" s="39" t="str">
        <f aca="false">IF(D12="","",D12)</f>
        <v/>
      </c>
      <c r="D30" s="39"/>
      <c r="E30" s="14"/>
      <c r="F30" s="14"/>
      <c r="G30" s="40"/>
      <c r="H30" s="14" t="str">
        <f aca="false">IF($C30="","",Resumen!$E$15)</f>
        <v/>
      </c>
      <c r="I30" s="34"/>
      <c r="J30" s="41"/>
      <c r="K30" s="41"/>
      <c r="L30" s="34"/>
      <c r="M30" s="42"/>
    </row>
    <row r="31" customFormat="false" ht="19.5" hidden="false" customHeight="true" outlineLevel="0" collapsed="false">
      <c r="B31" s="17" t="n">
        <v>4</v>
      </c>
      <c r="C31" s="39" t="str">
        <f aca="false">IF(D13="","",D13)</f>
        <v/>
      </c>
      <c r="D31" s="39"/>
      <c r="E31" s="14"/>
      <c r="F31" s="14"/>
      <c r="G31" s="40"/>
      <c r="H31" s="14" t="str">
        <f aca="false">IF($C31="","",Resumen!$E$15)</f>
        <v/>
      </c>
      <c r="I31" s="34"/>
      <c r="J31" s="41"/>
      <c r="K31" s="41"/>
      <c r="L31" s="34"/>
      <c r="M31" s="42"/>
    </row>
    <row r="32" customFormat="false" ht="19.5" hidden="false" customHeight="true" outlineLevel="0" collapsed="false">
      <c r="B32" s="17" t="n">
        <v>5</v>
      </c>
      <c r="C32" s="39" t="str">
        <f aca="false">IF(D14="","",D14)</f>
        <v/>
      </c>
      <c r="D32" s="39"/>
      <c r="E32" s="14"/>
      <c r="F32" s="14"/>
      <c r="G32" s="40"/>
      <c r="H32" s="14" t="str">
        <f aca="false">IF($C32="","",Resumen!$E$15)</f>
        <v/>
      </c>
      <c r="I32" s="34"/>
      <c r="J32" s="41"/>
      <c r="K32" s="41"/>
      <c r="L32" s="34"/>
      <c r="M32" s="42"/>
    </row>
    <row r="33" customFormat="false" ht="19.5" hidden="false" customHeight="true" outlineLevel="0" collapsed="false">
      <c r="B33" s="17" t="n">
        <v>6</v>
      </c>
      <c r="C33" s="39" t="str">
        <f aca="false">IF(D15="","",D15)</f>
        <v/>
      </c>
      <c r="D33" s="39"/>
      <c r="E33" s="14"/>
      <c r="F33" s="14"/>
      <c r="G33" s="40"/>
      <c r="H33" s="14" t="str">
        <f aca="false">IF($C33="","",Resumen!$E$15)</f>
        <v/>
      </c>
      <c r="I33" s="34"/>
      <c r="J33" s="41"/>
      <c r="K33" s="41"/>
      <c r="L33" s="34"/>
      <c r="M33" s="42"/>
    </row>
    <row r="34" customFormat="false" ht="19.5" hidden="false" customHeight="true" outlineLevel="0" collapsed="false">
      <c r="B34" s="17" t="n">
        <v>7</v>
      </c>
      <c r="C34" s="39" t="str">
        <f aca="false">IF(D16="","",D16)</f>
        <v/>
      </c>
      <c r="D34" s="39"/>
      <c r="E34" s="14"/>
      <c r="F34" s="14"/>
      <c r="G34" s="40"/>
      <c r="H34" s="14" t="str">
        <f aca="false">IF($C34="","",Resumen!$E$15)</f>
        <v/>
      </c>
      <c r="I34" s="34"/>
      <c r="J34" s="41"/>
      <c r="K34" s="41"/>
      <c r="L34" s="34"/>
      <c r="M34" s="42"/>
    </row>
    <row r="35" customFormat="false" ht="19.5" hidden="false" customHeight="true" outlineLevel="0" collapsed="false">
      <c r="B35" s="17" t="n">
        <v>8</v>
      </c>
      <c r="C35" s="39" t="str">
        <f aca="false">IF(D17="","",D17)</f>
        <v/>
      </c>
      <c r="D35" s="39"/>
      <c r="E35" s="14"/>
      <c r="F35" s="14"/>
      <c r="G35" s="40"/>
      <c r="H35" s="14" t="str">
        <f aca="false">IF($C35="","",Resumen!$E$15)</f>
        <v/>
      </c>
      <c r="I35" s="34"/>
      <c r="J35" s="41"/>
      <c r="K35" s="41"/>
      <c r="L35" s="34"/>
      <c r="M35" s="42"/>
    </row>
    <row r="37" customFormat="false" ht="21.75" hidden="false" customHeight="true" outlineLevel="0" collapsed="false">
      <c r="B37" s="4" t="str">
        <f aca="false">"SEMANA 2  ·  "&amp;UPPER(Resumen!D16)&amp;"  ·  RIR objetivo "&amp;Resumen!E16&amp;IF(Resumen!C16="","","  ·  "&amp;Resumen!C16)</f>
        <v>SEMANA 2  ·  PROGRESIÓN  ·  RIR objetivo 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customFormat="false" ht="19.5" hidden="false" customHeight="true" outlineLevel="0" collapsed="false">
      <c r="B38" s="32" t="s">
        <v>76</v>
      </c>
      <c r="C38" s="32"/>
      <c r="D38" s="33"/>
      <c r="E38" s="32" t="s">
        <v>77</v>
      </c>
      <c r="F38" s="32"/>
      <c r="G38" s="34"/>
      <c r="H38" s="32" t="s">
        <v>78</v>
      </c>
      <c r="I38" s="32"/>
      <c r="J38" s="32"/>
      <c r="K38" s="34"/>
    </row>
    <row r="39" customFormat="false" ht="15" hidden="false" customHeight="true" outlineLevel="0" collapsed="false">
      <c r="E39" s="35" t="s">
        <v>79</v>
      </c>
      <c r="F39" s="35"/>
      <c r="G39" s="35"/>
      <c r="H39" s="35"/>
      <c r="I39" s="36" t="s">
        <v>80</v>
      </c>
      <c r="J39" s="36"/>
      <c r="K39" s="36"/>
      <c r="L39" s="36"/>
    </row>
    <row r="40" customFormat="false" ht="19.5" hidden="false" customHeight="true" outlineLevel="0" collapsed="false">
      <c r="B40" s="37" t="s">
        <v>66</v>
      </c>
      <c r="C40" s="37" t="s">
        <v>68</v>
      </c>
      <c r="D40" s="37"/>
      <c r="E40" s="37" t="s">
        <v>81</v>
      </c>
      <c r="F40" s="37" t="s">
        <v>82</v>
      </c>
      <c r="G40" s="37" t="s">
        <v>83</v>
      </c>
      <c r="H40" s="37" t="s">
        <v>84</v>
      </c>
      <c r="I40" s="38" t="s">
        <v>81</v>
      </c>
      <c r="J40" s="38" t="s">
        <v>82</v>
      </c>
      <c r="K40" s="38" t="s">
        <v>85</v>
      </c>
      <c r="L40" s="38" t="s">
        <v>51</v>
      </c>
      <c r="M40" s="37" t="s">
        <v>86</v>
      </c>
    </row>
    <row r="41" customFormat="false" ht="19.5" hidden="false" customHeight="true" outlineLevel="0" collapsed="false">
      <c r="B41" s="17" t="n">
        <v>1</v>
      </c>
      <c r="C41" s="39" t="str">
        <f aca="false">IF(D10="","",D10)</f>
        <v/>
      </c>
      <c r="D41" s="39"/>
      <c r="E41" s="14" t="str">
        <f aca="false">IF(E28="","",E28)</f>
        <v/>
      </c>
      <c r="F41" s="14" t="str">
        <f aca="false">IF(F28="","",F28)</f>
        <v/>
      </c>
      <c r="G41" s="40"/>
      <c r="H41" s="14" t="str">
        <f aca="false">IF($C41="","",Resumen!$E$16)</f>
        <v/>
      </c>
      <c r="I41" s="34"/>
      <c r="J41" s="41"/>
      <c r="K41" s="41"/>
      <c r="L41" s="34"/>
      <c r="M41" s="42"/>
    </row>
    <row r="42" customFormat="false" ht="19.5" hidden="false" customHeight="true" outlineLevel="0" collapsed="false">
      <c r="B42" s="17" t="n">
        <v>2</v>
      </c>
      <c r="C42" s="39" t="str">
        <f aca="false">IF(D11="","",D11)</f>
        <v/>
      </c>
      <c r="D42" s="39"/>
      <c r="E42" s="14" t="str">
        <f aca="false">IF(E29="","",E29)</f>
        <v/>
      </c>
      <c r="F42" s="14" t="str">
        <f aca="false">IF(F29="","",F29)</f>
        <v/>
      </c>
      <c r="G42" s="40"/>
      <c r="H42" s="14" t="str">
        <f aca="false">IF($C42="","",Resumen!$E$16)</f>
        <v/>
      </c>
      <c r="I42" s="34"/>
      <c r="J42" s="41"/>
      <c r="K42" s="41"/>
      <c r="L42" s="34"/>
      <c r="M42" s="42"/>
    </row>
    <row r="43" customFormat="false" ht="19.5" hidden="false" customHeight="true" outlineLevel="0" collapsed="false">
      <c r="B43" s="17" t="n">
        <v>3</v>
      </c>
      <c r="C43" s="39" t="str">
        <f aca="false">IF(D12="","",D12)</f>
        <v/>
      </c>
      <c r="D43" s="39"/>
      <c r="E43" s="14" t="str">
        <f aca="false">IF(E30="","",E30)</f>
        <v/>
      </c>
      <c r="F43" s="14" t="str">
        <f aca="false">IF(F30="","",F30)</f>
        <v/>
      </c>
      <c r="G43" s="40"/>
      <c r="H43" s="14" t="str">
        <f aca="false">IF($C43="","",Resumen!$E$16)</f>
        <v/>
      </c>
      <c r="I43" s="34"/>
      <c r="J43" s="41"/>
      <c r="K43" s="41"/>
      <c r="L43" s="34"/>
      <c r="M43" s="42"/>
    </row>
    <row r="44" customFormat="false" ht="19.5" hidden="false" customHeight="true" outlineLevel="0" collapsed="false">
      <c r="B44" s="17" t="n">
        <v>4</v>
      </c>
      <c r="C44" s="39" t="str">
        <f aca="false">IF(D13="","",D13)</f>
        <v/>
      </c>
      <c r="D44" s="39"/>
      <c r="E44" s="14" t="str">
        <f aca="false">IF(E31="","",E31)</f>
        <v/>
      </c>
      <c r="F44" s="14" t="str">
        <f aca="false">IF(F31="","",F31)</f>
        <v/>
      </c>
      <c r="G44" s="40"/>
      <c r="H44" s="14" t="str">
        <f aca="false">IF($C44="","",Resumen!$E$16)</f>
        <v/>
      </c>
      <c r="I44" s="34"/>
      <c r="J44" s="41"/>
      <c r="K44" s="41"/>
      <c r="L44" s="34"/>
      <c r="M44" s="42"/>
    </row>
    <row r="45" customFormat="false" ht="19.5" hidden="false" customHeight="true" outlineLevel="0" collapsed="false">
      <c r="B45" s="17" t="n">
        <v>5</v>
      </c>
      <c r="C45" s="39" t="str">
        <f aca="false">IF(D14="","",D14)</f>
        <v/>
      </c>
      <c r="D45" s="39"/>
      <c r="E45" s="14" t="str">
        <f aca="false">IF(E32="","",E32)</f>
        <v/>
      </c>
      <c r="F45" s="14" t="str">
        <f aca="false">IF(F32="","",F32)</f>
        <v/>
      </c>
      <c r="G45" s="40"/>
      <c r="H45" s="14" t="str">
        <f aca="false">IF($C45="","",Resumen!$E$16)</f>
        <v/>
      </c>
      <c r="I45" s="34"/>
      <c r="J45" s="41"/>
      <c r="K45" s="41"/>
      <c r="L45" s="34"/>
      <c r="M45" s="42"/>
    </row>
    <row r="46" customFormat="false" ht="19.5" hidden="false" customHeight="true" outlineLevel="0" collapsed="false">
      <c r="B46" s="17" t="n">
        <v>6</v>
      </c>
      <c r="C46" s="39" t="str">
        <f aca="false">IF(D15="","",D15)</f>
        <v/>
      </c>
      <c r="D46" s="39"/>
      <c r="E46" s="14" t="str">
        <f aca="false">IF(E33="","",E33)</f>
        <v/>
      </c>
      <c r="F46" s="14" t="str">
        <f aca="false">IF(F33="","",F33)</f>
        <v/>
      </c>
      <c r="G46" s="40"/>
      <c r="H46" s="14" t="str">
        <f aca="false">IF($C46="","",Resumen!$E$16)</f>
        <v/>
      </c>
      <c r="I46" s="34"/>
      <c r="J46" s="41"/>
      <c r="K46" s="41"/>
      <c r="L46" s="34"/>
      <c r="M46" s="42"/>
    </row>
    <row r="47" customFormat="false" ht="19.5" hidden="false" customHeight="true" outlineLevel="0" collapsed="false">
      <c r="B47" s="17" t="n">
        <v>7</v>
      </c>
      <c r="C47" s="39" t="str">
        <f aca="false">IF(D16="","",D16)</f>
        <v/>
      </c>
      <c r="D47" s="39"/>
      <c r="E47" s="14" t="str">
        <f aca="false">IF(E34="","",E34)</f>
        <v/>
      </c>
      <c r="F47" s="14" t="str">
        <f aca="false">IF(F34="","",F34)</f>
        <v/>
      </c>
      <c r="G47" s="40"/>
      <c r="H47" s="14" t="str">
        <f aca="false">IF($C47="","",Resumen!$E$16)</f>
        <v/>
      </c>
      <c r="I47" s="34"/>
      <c r="J47" s="41"/>
      <c r="K47" s="41"/>
      <c r="L47" s="34"/>
      <c r="M47" s="42"/>
    </row>
    <row r="48" customFormat="false" ht="19.5" hidden="false" customHeight="true" outlineLevel="0" collapsed="false">
      <c r="B48" s="17" t="n">
        <v>8</v>
      </c>
      <c r="C48" s="39" t="str">
        <f aca="false">IF(D17="","",D17)</f>
        <v/>
      </c>
      <c r="D48" s="39"/>
      <c r="E48" s="14" t="str">
        <f aca="false">IF(E35="","",E35)</f>
        <v/>
      </c>
      <c r="F48" s="14" t="str">
        <f aca="false">IF(F35="","",F35)</f>
        <v/>
      </c>
      <c r="G48" s="40"/>
      <c r="H48" s="14" t="str">
        <f aca="false">IF($C48="","",Resumen!$E$16)</f>
        <v/>
      </c>
      <c r="I48" s="34"/>
      <c r="J48" s="41"/>
      <c r="K48" s="41"/>
      <c r="L48" s="34"/>
      <c r="M48" s="42"/>
    </row>
    <row r="50" customFormat="false" ht="21.75" hidden="false" customHeight="true" outlineLevel="0" collapsed="false">
      <c r="B50" s="4" t="str">
        <f aca="false">"SEMANA 3  ·  "&amp;UPPER(Resumen!D17)&amp;"  ·  RIR objetivo "&amp;Resumen!E17&amp;IF(Resumen!C17="","","  ·  "&amp;Resumen!C17)</f>
        <v>SEMANA 3  ·  INTENSIFICACIÓN  ·  RIR objetivo 1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customFormat="false" ht="19.5" hidden="false" customHeight="true" outlineLevel="0" collapsed="false">
      <c r="B51" s="32" t="s">
        <v>76</v>
      </c>
      <c r="C51" s="32"/>
      <c r="D51" s="33"/>
      <c r="E51" s="32" t="s">
        <v>77</v>
      </c>
      <c r="F51" s="32"/>
      <c r="G51" s="34"/>
      <c r="H51" s="32" t="s">
        <v>78</v>
      </c>
      <c r="I51" s="32"/>
      <c r="J51" s="32"/>
      <c r="K51" s="34"/>
    </row>
    <row r="52" customFormat="false" ht="15" hidden="false" customHeight="true" outlineLevel="0" collapsed="false">
      <c r="E52" s="35" t="s">
        <v>79</v>
      </c>
      <c r="F52" s="35"/>
      <c r="G52" s="35"/>
      <c r="H52" s="35"/>
      <c r="I52" s="36" t="s">
        <v>80</v>
      </c>
      <c r="J52" s="36"/>
      <c r="K52" s="36"/>
      <c r="L52" s="36"/>
    </row>
    <row r="53" customFormat="false" ht="19.5" hidden="false" customHeight="true" outlineLevel="0" collapsed="false">
      <c r="B53" s="37" t="s">
        <v>66</v>
      </c>
      <c r="C53" s="37" t="s">
        <v>68</v>
      </c>
      <c r="D53" s="37"/>
      <c r="E53" s="37" t="s">
        <v>81</v>
      </c>
      <c r="F53" s="37" t="s">
        <v>82</v>
      </c>
      <c r="G53" s="37" t="s">
        <v>83</v>
      </c>
      <c r="H53" s="37" t="s">
        <v>84</v>
      </c>
      <c r="I53" s="38" t="s">
        <v>81</v>
      </c>
      <c r="J53" s="38" t="s">
        <v>82</v>
      </c>
      <c r="K53" s="38" t="s">
        <v>85</v>
      </c>
      <c r="L53" s="38" t="s">
        <v>51</v>
      </c>
      <c r="M53" s="37" t="s">
        <v>86</v>
      </c>
    </row>
    <row r="54" customFormat="false" ht="19.5" hidden="false" customHeight="true" outlineLevel="0" collapsed="false">
      <c r="B54" s="17" t="n">
        <v>1</v>
      </c>
      <c r="C54" s="39" t="str">
        <f aca="false">IF(D10="","",D10)</f>
        <v/>
      </c>
      <c r="D54" s="39"/>
      <c r="E54" s="14" t="str">
        <f aca="false">IF(E41="","",E41)</f>
        <v/>
      </c>
      <c r="F54" s="14" t="str">
        <f aca="false">IF(F41="","",F41)</f>
        <v/>
      </c>
      <c r="G54" s="40"/>
      <c r="H54" s="14" t="str">
        <f aca="false">IF($C54="","",Resumen!$E$17)</f>
        <v/>
      </c>
      <c r="I54" s="34"/>
      <c r="J54" s="41"/>
      <c r="K54" s="41"/>
      <c r="L54" s="34"/>
      <c r="M54" s="42"/>
    </row>
    <row r="55" customFormat="false" ht="19.5" hidden="false" customHeight="true" outlineLevel="0" collapsed="false">
      <c r="B55" s="17" t="n">
        <v>2</v>
      </c>
      <c r="C55" s="39" t="str">
        <f aca="false">IF(D11="","",D11)</f>
        <v/>
      </c>
      <c r="D55" s="39"/>
      <c r="E55" s="14" t="str">
        <f aca="false">IF(E42="","",E42)</f>
        <v/>
      </c>
      <c r="F55" s="14" t="str">
        <f aca="false">IF(F42="","",F42)</f>
        <v/>
      </c>
      <c r="G55" s="40"/>
      <c r="H55" s="14" t="str">
        <f aca="false">IF($C55="","",Resumen!$E$17)</f>
        <v/>
      </c>
      <c r="I55" s="34"/>
      <c r="J55" s="41"/>
      <c r="K55" s="41"/>
      <c r="L55" s="34"/>
      <c r="M55" s="42"/>
    </row>
    <row r="56" customFormat="false" ht="19.5" hidden="false" customHeight="true" outlineLevel="0" collapsed="false">
      <c r="B56" s="17" t="n">
        <v>3</v>
      </c>
      <c r="C56" s="39" t="str">
        <f aca="false">IF(D12="","",D12)</f>
        <v/>
      </c>
      <c r="D56" s="39"/>
      <c r="E56" s="14" t="str">
        <f aca="false">IF(E43="","",E43)</f>
        <v/>
      </c>
      <c r="F56" s="14" t="str">
        <f aca="false">IF(F43="","",F43)</f>
        <v/>
      </c>
      <c r="G56" s="40"/>
      <c r="H56" s="14" t="str">
        <f aca="false">IF($C56="","",Resumen!$E$17)</f>
        <v/>
      </c>
      <c r="I56" s="34"/>
      <c r="J56" s="41"/>
      <c r="K56" s="41"/>
      <c r="L56" s="34"/>
      <c r="M56" s="42"/>
    </row>
    <row r="57" customFormat="false" ht="19.5" hidden="false" customHeight="true" outlineLevel="0" collapsed="false">
      <c r="B57" s="17" t="n">
        <v>4</v>
      </c>
      <c r="C57" s="39" t="str">
        <f aca="false">IF(D13="","",D13)</f>
        <v/>
      </c>
      <c r="D57" s="39"/>
      <c r="E57" s="14" t="str">
        <f aca="false">IF(E44="","",E44)</f>
        <v/>
      </c>
      <c r="F57" s="14" t="str">
        <f aca="false">IF(F44="","",F44)</f>
        <v/>
      </c>
      <c r="G57" s="40"/>
      <c r="H57" s="14" t="str">
        <f aca="false">IF($C57="","",Resumen!$E$17)</f>
        <v/>
      </c>
      <c r="I57" s="34"/>
      <c r="J57" s="41"/>
      <c r="K57" s="41"/>
      <c r="L57" s="34"/>
      <c r="M57" s="42"/>
    </row>
    <row r="58" customFormat="false" ht="19.5" hidden="false" customHeight="true" outlineLevel="0" collapsed="false">
      <c r="B58" s="17" t="n">
        <v>5</v>
      </c>
      <c r="C58" s="39" t="str">
        <f aca="false">IF(D14="","",D14)</f>
        <v/>
      </c>
      <c r="D58" s="39"/>
      <c r="E58" s="14" t="str">
        <f aca="false">IF(E45="","",E45)</f>
        <v/>
      </c>
      <c r="F58" s="14" t="str">
        <f aca="false">IF(F45="","",F45)</f>
        <v/>
      </c>
      <c r="G58" s="40"/>
      <c r="H58" s="14" t="str">
        <f aca="false">IF($C58="","",Resumen!$E$17)</f>
        <v/>
      </c>
      <c r="I58" s="34"/>
      <c r="J58" s="41"/>
      <c r="K58" s="41"/>
      <c r="L58" s="34"/>
      <c r="M58" s="42"/>
    </row>
    <row r="59" customFormat="false" ht="19.5" hidden="false" customHeight="true" outlineLevel="0" collapsed="false">
      <c r="B59" s="17" t="n">
        <v>6</v>
      </c>
      <c r="C59" s="39" t="str">
        <f aca="false">IF(D15="","",D15)</f>
        <v/>
      </c>
      <c r="D59" s="39"/>
      <c r="E59" s="14" t="str">
        <f aca="false">IF(E46="","",E46)</f>
        <v/>
      </c>
      <c r="F59" s="14" t="str">
        <f aca="false">IF(F46="","",F46)</f>
        <v/>
      </c>
      <c r="G59" s="40"/>
      <c r="H59" s="14" t="str">
        <f aca="false">IF($C59="","",Resumen!$E$17)</f>
        <v/>
      </c>
      <c r="I59" s="34"/>
      <c r="J59" s="41"/>
      <c r="K59" s="41"/>
      <c r="L59" s="34"/>
      <c r="M59" s="42"/>
    </row>
    <row r="60" customFormat="false" ht="19.5" hidden="false" customHeight="true" outlineLevel="0" collapsed="false">
      <c r="B60" s="17" t="n">
        <v>7</v>
      </c>
      <c r="C60" s="39" t="str">
        <f aca="false">IF(D16="","",D16)</f>
        <v/>
      </c>
      <c r="D60" s="39"/>
      <c r="E60" s="14" t="str">
        <f aca="false">IF(E47="","",E47)</f>
        <v/>
      </c>
      <c r="F60" s="14" t="str">
        <f aca="false">IF(F47="","",F47)</f>
        <v/>
      </c>
      <c r="G60" s="40"/>
      <c r="H60" s="14" t="str">
        <f aca="false">IF($C60="","",Resumen!$E$17)</f>
        <v/>
      </c>
      <c r="I60" s="34"/>
      <c r="J60" s="41"/>
      <c r="K60" s="41"/>
      <c r="L60" s="34"/>
      <c r="M60" s="42"/>
    </row>
    <row r="61" customFormat="false" ht="19.5" hidden="false" customHeight="true" outlineLevel="0" collapsed="false">
      <c r="B61" s="17" t="n">
        <v>8</v>
      </c>
      <c r="C61" s="39" t="str">
        <f aca="false">IF(D17="","",D17)</f>
        <v/>
      </c>
      <c r="D61" s="39"/>
      <c r="E61" s="14" t="str">
        <f aca="false">IF(E48="","",E48)</f>
        <v/>
      </c>
      <c r="F61" s="14" t="str">
        <f aca="false">IF(F48="","",F48)</f>
        <v/>
      </c>
      <c r="G61" s="40"/>
      <c r="H61" s="14" t="str">
        <f aca="false">IF($C61="","",Resumen!$E$17)</f>
        <v/>
      </c>
      <c r="I61" s="34"/>
      <c r="J61" s="41"/>
      <c r="K61" s="41"/>
      <c r="L61" s="34"/>
      <c r="M61" s="42"/>
    </row>
    <row r="63" customFormat="false" ht="21.75" hidden="false" customHeight="true" outlineLevel="0" collapsed="false">
      <c r="B63" s="4" t="str">
        <f aca="false">"SEMANA 4  ·  "&amp;UPPER(Resumen!D18)&amp;"  ·  RIR objetivo "&amp;Resumen!E18&amp;IF(Resumen!C18="","","  ·  "&amp;Resumen!C18)</f>
        <v>SEMANA 4  ·  DESCARGA  ·  RIR objetivo 4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customFormat="false" ht="19.5" hidden="false" customHeight="true" outlineLevel="0" collapsed="false">
      <c r="B64" s="32" t="s">
        <v>76</v>
      </c>
      <c r="C64" s="32"/>
      <c r="D64" s="33"/>
      <c r="E64" s="32" t="s">
        <v>77</v>
      </c>
      <c r="F64" s="32"/>
      <c r="G64" s="34"/>
      <c r="H64" s="32" t="s">
        <v>78</v>
      </c>
      <c r="I64" s="32"/>
      <c r="J64" s="32"/>
      <c r="K64" s="34"/>
    </row>
    <row r="65" customFormat="false" ht="15" hidden="false" customHeight="true" outlineLevel="0" collapsed="false">
      <c r="E65" s="35" t="s">
        <v>79</v>
      </c>
      <c r="F65" s="35"/>
      <c r="G65" s="35"/>
      <c r="H65" s="35"/>
      <c r="I65" s="36" t="s">
        <v>80</v>
      </c>
      <c r="J65" s="36"/>
      <c r="K65" s="36"/>
      <c r="L65" s="36"/>
    </row>
    <row r="66" customFormat="false" ht="19.5" hidden="false" customHeight="true" outlineLevel="0" collapsed="false">
      <c r="B66" s="37" t="s">
        <v>66</v>
      </c>
      <c r="C66" s="37" t="s">
        <v>68</v>
      </c>
      <c r="D66" s="37"/>
      <c r="E66" s="37" t="s">
        <v>81</v>
      </c>
      <c r="F66" s="37" t="s">
        <v>82</v>
      </c>
      <c r="G66" s="37" t="s">
        <v>83</v>
      </c>
      <c r="H66" s="37" t="s">
        <v>84</v>
      </c>
      <c r="I66" s="38" t="s">
        <v>81</v>
      </c>
      <c r="J66" s="38" t="s">
        <v>82</v>
      </c>
      <c r="K66" s="38" t="s">
        <v>85</v>
      </c>
      <c r="L66" s="38" t="s">
        <v>51</v>
      </c>
      <c r="M66" s="37" t="s">
        <v>86</v>
      </c>
    </row>
    <row r="67" customFormat="false" ht="19.5" hidden="false" customHeight="true" outlineLevel="0" collapsed="false">
      <c r="B67" s="17" t="n">
        <v>1</v>
      </c>
      <c r="C67" s="39" t="str">
        <f aca="false">IF(D10="","",D10)</f>
        <v/>
      </c>
      <c r="D67" s="39"/>
      <c r="E67" s="14" t="str">
        <f aca="false">IF(E54="","",E54)</f>
        <v/>
      </c>
      <c r="F67" s="14" t="str">
        <f aca="false">IF(F54="","",F54)</f>
        <v/>
      </c>
      <c r="G67" s="40"/>
      <c r="H67" s="14" t="str">
        <f aca="false">IF($C67="","",Resumen!$E$18)</f>
        <v/>
      </c>
      <c r="I67" s="34"/>
      <c r="J67" s="41"/>
      <c r="K67" s="41"/>
      <c r="L67" s="34"/>
      <c r="M67" s="42"/>
    </row>
    <row r="68" customFormat="false" ht="19.5" hidden="false" customHeight="true" outlineLevel="0" collapsed="false">
      <c r="B68" s="17" t="n">
        <v>2</v>
      </c>
      <c r="C68" s="39" t="str">
        <f aca="false">IF(D11="","",D11)</f>
        <v/>
      </c>
      <c r="D68" s="39"/>
      <c r="E68" s="14" t="str">
        <f aca="false">IF(E55="","",E55)</f>
        <v/>
      </c>
      <c r="F68" s="14" t="str">
        <f aca="false">IF(F55="","",F55)</f>
        <v/>
      </c>
      <c r="G68" s="40"/>
      <c r="H68" s="14" t="str">
        <f aca="false">IF($C68="","",Resumen!$E$18)</f>
        <v/>
      </c>
      <c r="I68" s="34"/>
      <c r="J68" s="41"/>
      <c r="K68" s="41"/>
      <c r="L68" s="34"/>
      <c r="M68" s="42"/>
    </row>
    <row r="69" customFormat="false" ht="19.5" hidden="false" customHeight="true" outlineLevel="0" collapsed="false">
      <c r="B69" s="17" t="n">
        <v>3</v>
      </c>
      <c r="C69" s="39" t="str">
        <f aca="false">IF(D12="","",D12)</f>
        <v/>
      </c>
      <c r="D69" s="39"/>
      <c r="E69" s="14" t="str">
        <f aca="false">IF(E56="","",E56)</f>
        <v/>
      </c>
      <c r="F69" s="14" t="str">
        <f aca="false">IF(F56="","",F56)</f>
        <v/>
      </c>
      <c r="G69" s="40"/>
      <c r="H69" s="14" t="str">
        <f aca="false">IF($C69="","",Resumen!$E$18)</f>
        <v/>
      </c>
      <c r="I69" s="34"/>
      <c r="J69" s="41"/>
      <c r="K69" s="41"/>
      <c r="L69" s="34"/>
      <c r="M69" s="42"/>
    </row>
    <row r="70" customFormat="false" ht="19.5" hidden="false" customHeight="true" outlineLevel="0" collapsed="false">
      <c r="B70" s="17" t="n">
        <v>4</v>
      </c>
      <c r="C70" s="39" t="str">
        <f aca="false">IF(D13="","",D13)</f>
        <v/>
      </c>
      <c r="D70" s="39"/>
      <c r="E70" s="14" t="str">
        <f aca="false">IF(E57="","",E57)</f>
        <v/>
      </c>
      <c r="F70" s="14" t="str">
        <f aca="false">IF(F57="","",F57)</f>
        <v/>
      </c>
      <c r="G70" s="40"/>
      <c r="H70" s="14" t="str">
        <f aca="false">IF($C70="","",Resumen!$E$18)</f>
        <v/>
      </c>
      <c r="I70" s="34"/>
      <c r="J70" s="41"/>
      <c r="K70" s="41"/>
      <c r="L70" s="34"/>
      <c r="M70" s="42"/>
    </row>
    <row r="71" customFormat="false" ht="19.5" hidden="false" customHeight="true" outlineLevel="0" collapsed="false">
      <c r="B71" s="17" t="n">
        <v>5</v>
      </c>
      <c r="C71" s="39" t="str">
        <f aca="false">IF(D14="","",D14)</f>
        <v/>
      </c>
      <c r="D71" s="39"/>
      <c r="E71" s="14" t="str">
        <f aca="false">IF(E58="","",E58)</f>
        <v/>
      </c>
      <c r="F71" s="14" t="str">
        <f aca="false">IF(F58="","",F58)</f>
        <v/>
      </c>
      <c r="G71" s="40"/>
      <c r="H71" s="14" t="str">
        <f aca="false">IF($C71="","",Resumen!$E$18)</f>
        <v/>
      </c>
      <c r="I71" s="34"/>
      <c r="J71" s="41"/>
      <c r="K71" s="41"/>
      <c r="L71" s="34"/>
      <c r="M71" s="42"/>
    </row>
    <row r="72" customFormat="false" ht="19.5" hidden="false" customHeight="true" outlineLevel="0" collapsed="false">
      <c r="B72" s="17" t="n">
        <v>6</v>
      </c>
      <c r="C72" s="39" t="str">
        <f aca="false">IF(D15="","",D15)</f>
        <v/>
      </c>
      <c r="D72" s="39"/>
      <c r="E72" s="14" t="str">
        <f aca="false">IF(E59="","",E59)</f>
        <v/>
      </c>
      <c r="F72" s="14" t="str">
        <f aca="false">IF(F59="","",F59)</f>
        <v/>
      </c>
      <c r="G72" s="40"/>
      <c r="H72" s="14" t="str">
        <f aca="false">IF($C72="","",Resumen!$E$18)</f>
        <v/>
      </c>
      <c r="I72" s="34"/>
      <c r="J72" s="41"/>
      <c r="K72" s="41"/>
      <c r="L72" s="34"/>
      <c r="M72" s="42"/>
    </row>
    <row r="73" customFormat="false" ht="19.5" hidden="false" customHeight="true" outlineLevel="0" collapsed="false">
      <c r="B73" s="17" t="n">
        <v>7</v>
      </c>
      <c r="C73" s="39" t="str">
        <f aca="false">IF(D16="","",D16)</f>
        <v/>
      </c>
      <c r="D73" s="39"/>
      <c r="E73" s="14" t="str">
        <f aca="false">IF(E60="","",E60)</f>
        <v/>
      </c>
      <c r="F73" s="14" t="str">
        <f aca="false">IF(F60="","",F60)</f>
        <v/>
      </c>
      <c r="G73" s="40"/>
      <c r="H73" s="14" t="str">
        <f aca="false">IF($C73="","",Resumen!$E$18)</f>
        <v/>
      </c>
      <c r="I73" s="34"/>
      <c r="J73" s="41"/>
      <c r="K73" s="41"/>
      <c r="L73" s="34"/>
      <c r="M73" s="42"/>
    </row>
    <row r="74" customFormat="false" ht="19.5" hidden="false" customHeight="true" outlineLevel="0" collapsed="false">
      <c r="B74" s="17" t="n">
        <v>8</v>
      </c>
      <c r="C74" s="39" t="str">
        <f aca="false">IF(D17="","",D17)</f>
        <v/>
      </c>
      <c r="D74" s="39"/>
      <c r="E74" s="14" t="str">
        <f aca="false">IF(E61="","",E61)</f>
        <v/>
      </c>
      <c r="F74" s="14" t="str">
        <f aca="false">IF(F61="","",F61)</f>
        <v/>
      </c>
      <c r="G74" s="40"/>
      <c r="H74" s="14" t="str">
        <f aca="false">IF($C74="","",Resumen!$E$18)</f>
        <v/>
      </c>
      <c r="I74" s="34"/>
      <c r="J74" s="41"/>
      <c r="K74" s="41"/>
      <c r="L74" s="34"/>
      <c r="M74" s="42"/>
    </row>
    <row r="76" customFormat="false" ht="19.5" hidden="false" customHeight="true" outlineLevel="0" collapsed="false">
      <c r="B76" s="43" t="s">
        <v>87</v>
      </c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</row>
    <row r="77" customFormat="false" ht="19.5" hidden="false" customHeight="true" outlineLevel="0" collapsed="false">
      <c r="B77" s="37" t="s">
        <v>66</v>
      </c>
      <c r="C77" s="37" t="s">
        <v>68</v>
      </c>
      <c r="D77" s="37"/>
      <c r="E77" s="37" t="s">
        <v>88</v>
      </c>
      <c r="F77" s="37" t="s">
        <v>89</v>
      </c>
      <c r="G77" s="37" t="s">
        <v>90</v>
      </c>
      <c r="H77" s="37" t="s">
        <v>91</v>
      </c>
      <c r="I77" s="37" t="s">
        <v>92</v>
      </c>
      <c r="J77" s="37" t="s">
        <v>93</v>
      </c>
      <c r="K77" s="37" t="s">
        <v>94</v>
      </c>
      <c r="L77" s="37"/>
      <c r="M77" s="37"/>
    </row>
    <row r="78" customFormat="false" ht="18" hidden="false" customHeight="true" outlineLevel="0" collapsed="false">
      <c r="B78" s="12" t="n">
        <v>1</v>
      </c>
      <c r="C78" s="44" t="str">
        <f aca="false">IF(D10="","",D10)</f>
        <v/>
      </c>
      <c r="D78" s="44"/>
      <c r="E78" s="45" t="str">
        <f aca="false">IF(K28="","",IF(ISNUMBER(K28),K28,IFERROR(IFERROR(LEFT(TRIM(RIGHT(SUBSTITUTE(SUBSTITUTE(K28,".",""),"-",REPT(" ",50)),50)),FIND(",",TRIM(RIGHT(SUBSTITUTE(SUBSTITUTE(K28,".",""),"-",REPT(" ",50)),50)))-1)*1,TRIM(RIGHT(SUBSTITUTE(SUBSTITUTE(K28,".",""),"-",REPT(" ",50)),50))*1)+IFERROR(MID(TRIM(RIGHT(SUBSTITUTE(SUBSTITUTE(K28,".",""),"-",REPT(" ",50)),50)),FIND(",",TRIM(RIGHT(SUBSTITUTE(SUBSTITUTE(K28,".",""),"-",REPT(" ",50)),50)))+1,9)/10^LEN(MID(TRIM(RIGHT(SUBSTITUTE(SUBSTITUTE(K28,".",""),"-",REPT(" ",50)),50)),FIND(",",TRIM(RIGHT(SUBSTITUTE(SUBSTITUTE(K28,".",""),"-",REPT(" ",50)),50)))+1,9)),0),"")))</f>
        <v/>
      </c>
      <c r="F78" s="45" t="str">
        <f aca="false">IF(K41="","",IF(ISNUMBER(K41),K41,IFERROR(IFERROR(LEFT(TRIM(RIGHT(SUBSTITUTE(SUBSTITUTE(K41,".",""),"-",REPT(" ",50)),50)),FIND(",",TRIM(RIGHT(SUBSTITUTE(SUBSTITUTE(K41,".",""),"-",REPT(" ",50)),50)))-1)*1,TRIM(RIGHT(SUBSTITUTE(SUBSTITUTE(K41,".",""),"-",REPT(" ",50)),50))*1)+IFERROR(MID(TRIM(RIGHT(SUBSTITUTE(SUBSTITUTE(K41,".",""),"-",REPT(" ",50)),50)),FIND(",",TRIM(RIGHT(SUBSTITUTE(SUBSTITUTE(K41,".",""),"-",REPT(" ",50)),50)))+1,9)/10^LEN(MID(TRIM(RIGHT(SUBSTITUTE(SUBSTITUTE(K41,".",""),"-",REPT(" ",50)),50)),FIND(",",TRIM(RIGHT(SUBSTITUTE(SUBSTITUTE(K41,".",""),"-",REPT(" ",50)),50)))+1,9)),0),"")))</f>
        <v/>
      </c>
      <c r="G78" s="45" t="str">
        <f aca="false">IF(K54="","",IF(ISNUMBER(K54),K54,IFERROR(IFERROR(LEFT(TRIM(RIGHT(SUBSTITUTE(SUBSTITUTE(K54,".",""),"-",REPT(" ",50)),50)),FIND(",",TRIM(RIGHT(SUBSTITUTE(SUBSTITUTE(K54,".",""),"-",REPT(" ",50)),50)))-1)*1,TRIM(RIGHT(SUBSTITUTE(SUBSTITUTE(K54,".",""),"-",REPT(" ",50)),50))*1)+IFERROR(MID(TRIM(RIGHT(SUBSTITUTE(SUBSTITUTE(K54,".",""),"-",REPT(" ",50)),50)),FIND(",",TRIM(RIGHT(SUBSTITUTE(SUBSTITUTE(K54,".",""),"-",REPT(" ",50)),50)))+1,9)/10^LEN(MID(TRIM(RIGHT(SUBSTITUTE(SUBSTITUTE(K54,".",""),"-",REPT(" ",50)),50)),FIND(",",TRIM(RIGHT(SUBSTITUTE(SUBSTITUTE(K54,".",""),"-",REPT(" ",50)),50)))+1,9)),0),"")))</f>
        <v/>
      </c>
      <c r="H78" s="45" t="str">
        <f aca="false">IF(K67="","",IF(ISNUMBER(K67),K67,IFERROR(IFERROR(LEFT(TRIM(RIGHT(SUBSTITUTE(SUBSTITUTE(K67,".",""),"-",REPT(" ",50)),50)),FIND(",",TRIM(RIGHT(SUBSTITUTE(SUBSTITUTE(K67,".",""),"-",REPT(" ",50)),50)))-1)*1,TRIM(RIGHT(SUBSTITUTE(SUBSTITUTE(K67,".",""),"-",REPT(" ",50)),50))*1)+IFERROR(MID(TRIM(RIGHT(SUBSTITUTE(SUBSTITUTE(K67,".",""),"-",REPT(" ",50)),50)),FIND(",",TRIM(RIGHT(SUBSTITUTE(SUBSTITUTE(K67,".",""),"-",REPT(" ",50)),50)))+1,9)/10^LEN(MID(TRIM(RIGHT(SUBSTITUTE(SUBSTITUTE(K67,".",""),"-",REPT(" ",50)),50)),FIND(",",TRIM(RIGHT(SUBSTITUTE(SUBSTITUTE(K67,".",""),"-",REPT(" ",50)),50)))+1,9)),0),"")))</f>
        <v/>
      </c>
      <c r="I78" s="46" t="str">
        <f aca="false">IF(OR(E78="",G78=""),"",G78-E78)</f>
        <v/>
      </c>
      <c r="J78" s="47" t="str">
        <f aca="false">IF(OR(E78="",G78="",E78=0),"",(G78-E78)/E78)</f>
        <v/>
      </c>
      <c r="K78" s="13" t="str">
        <f aca="false">IF(I78="","",IF(I78&gt;0,"▲ Progresa",IF(I78=0,"■ Estable","▼ Revisar")))</f>
        <v/>
      </c>
      <c r="L78" s="13"/>
      <c r="M78" s="13"/>
    </row>
    <row r="79" customFormat="false" ht="18" hidden="false" customHeight="true" outlineLevel="0" collapsed="false">
      <c r="B79" s="17" t="n">
        <v>2</v>
      </c>
      <c r="C79" s="39" t="str">
        <f aca="false">IF(D11="","",D11)</f>
        <v/>
      </c>
      <c r="D79" s="39"/>
      <c r="E79" s="48" t="str">
        <f aca="false">IF(K29="","",IF(ISNUMBER(K29),K29,IFERROR(IFERROR(LEFT(TRIM(RIGHT(SUBSTITUTE(SUBSTITUTE(K29,".",""),"-",REPT(" ",50)),50)),FIND(",",TRIM(RIGHT(SUBSTITUTE(SUBSTITUTE(K29,".",""),"-",REPT(" ",50)),50)))-1)*1,TRIM(RIGHT(SUBSTITUTE(SUBSTITUTE(K29,".",""),"-",REPT(" ",50)),50))*1)+IFERROR(MID(TRIM(RIGHT(SUBSTITUTE(SUBSTITUTE(K29,".",""),"-",REPT(" ",50)),50)),FIND(",",TRIM(RIGHT(SUBSTITUTE(SUBSTITUTE(K29,".",""),"-",REPT(" ",50)),50)))+1,9)/10^LEN(MID(TRIM(RIGHT(SUBSTITUTE(SUBSTITUTE(K29,".",""),"-",REPT(" ",50)),50)),FIND(",",TRIM(RIGHT(SUBSTITUTE(SUBSTITUTE(K29,".",""),"-",REPT(" ",50)),50)))+1,9)),0),"")))</f>
        <v/>
      </c>
      <c r="F79" s="48" t="str">
        <f aca="false">IF(K42="","",IF(ISNUMBER(K42),K42,IFERROR(IFERROR(LEFT(TRIM(RIGHT(SUBSTITUTE(SUBSTITUTE(K42,".",""),"-",REPT(" ",50)),50)),FIND(",",TRIM(RIGHT(SUBSTITUTE(SUBSTITUTE(K42,".",""),"-",REPT(" ",50)),50)))-1)*1,TRIM(RIGHT(SUBSTITUTE(SUBSTITUTE(K42,".",""),"-",REPT(" ",50)),50))*1)+IFERROR(MID(TRIM(RIGHT(SUBSTITUTE(SUBSTITUTE(K42,".",""),"-",REPT(" ",50)),50)),FIND(",",TRIM(RIGHT(SUBSTITUTE(SUBSTITUTE(K42,".",""),"-",REPT(" ",50)),50)))+1,9)/10^LEN(MID(TRIM(RIGHT(SUBSTITUTE(SUBSTITUTE(K42,".",""),"-",REPT(" ",50)),50)),FIND(",",TRIM(RIGHT(SUBSTITUTE(SUBSTITUTE(K42,".",""),"-",REPT(" ",50)),50)))+1,9)),0),"")))</f>
        <v/>
      </c>
      <c r="G79" s="48" t="str">
        <f aca="false">IF(K55="","",IF(ISNUMBER(K55),K55,IFERROR(IFERROR(LEFT(TRIM(RIGHT(SUBSTITUTE(SUBSTITUTE(K55,".",""),"-",REPT(" ",50)),50)),FIND(",",TRIM(RIGHT(SUBSTITUTE(SUBSTITUTE(K55,".",""),"-",REPT(" ",50)),50)))-1)*1,TRIM(RIGHT(SUBSTITUTE(SUBSTITUTE(K55,".",""),"-",REPT(" ",50)),50))*1)+IFERROR(MID(TRIM(RIGHT(SUBSTITUTE(SUBSTITUTE(K55,".",""),"-",REPT(" ",50)),50)),FIND(",",TRIM(RIGHT(SUBSTITUTE(SUBSTITUTE(K55,".",""),"-",REPT(" ",50)),50)))+1,9)/10^LEN(MID(TRIM(RIGHT(SUBSTITUTE(SUBSTITUTE(K55,".",""),"-",REPT(" ",50)),50)),FIND(",",TRIM(RIGHT(SUBSTITUTE(SUBSTITUTE(K55,".",""),"-",REPT(" ",50)),50)))+1,9)),0),"")))</f>
        <v/>
      </c>
      <c r="H79" s="48" t="str">
        <f aca="false">IF(K68="","",IF(ISNUMBER(K68),K68,IFERROR(IFERROR(LEFT(TRIM(RIGHT(SUBSTITUTE(SUBSTITUTE(K68,".",""),"-",REPT(" ",50)),50)),FIND(",",TRIM(RIGHT(SUBSTITUTE(SUBSTITUTE(K68,".",""),"-",REPT(" ",50)),50)))-1)*1,TRIM(RIGHT(SUBSTITUTE(SUBSTITUTE(K68,".",""),"-",REPT(" ",50)),50))*1)+IFERROR(MID(TRIM(RIGHT(SUBSTITUTE(SUBSTITUTE(K68,".",""),"-",REPT(" ",50)),50)),FIND(",",TRIM(RIGHT(SUBSTITUTE(SUBSTITUTE(K68,".",""),"-",REPT(" ",50)),50)))+1,9)/10^LEN(MID(TRIM(RIGHT(SUBSTITUTE(SUBSTITUTE(K68,".",""),"-",REPT(" ",50)),50)),FIND(",",TRIM(RIGHT(SUBSTITUTE(SUBSTITUTE(K68,".",""),"-",REPT(" ",50)),50)))+1,9)),0),"")))</f>
        <v/>
      </c>
      <c r="I79" s="49" t="str">
        <f aca="false">IF(OR(E79="",G79=""),"",G79-E79)</f>
        <v/>
      </c>
      <c r="J79" s="50" t="str">
        <f aca="false">IF(OR(E79="",G79="",E79=0),"",(G79-E79)/E79)</f>
        <v/>
      </c>
      <c r="K79" s="18" t="str">
        <f aca="false">IF(I79="","",IF(I79&gt;0,"▲ Progresa",IF(I79=0,"■ Estable","▼ Revisar")))</f>
        <v/>
      </c>
      <c r="L79" s="18"/>
      <c r="M79" s="18"/>
    </row>
    <row r="80" customFormat="false" ht="18" hidden="false" customHeight="true" outlineLevel="0" collapsed="false">
      <c r="B80" s="12" t="n">
        <v>3</v>
      </c>
      <c r="C80" s="44" t="str">
        <f aca="false">IF(D12="","",D12)</f>
        <v/>
      </c>
      <c r="D80" s="44"/>
      <c r="E80" s="45" t="str">
        <f aca="false">IF(K30="","",IF(ISNUMBER(K30),K30,IFERROR(IFERROR(LEFT(TRIM(RIGHT(SUBSTITUTE(SUBSTITUTE(K30,".",""),"-",REPT(" ",50)),50)),FIND(",",TRIM(RIGHT(SUBSTITUTE(SUBSTITUTE(K30,".",""),"-",REPT(" ",50)),50)))-1)*1,TRIM(RIGHT(SUBSTITUTE(SUBSTITUTE(K30,".",""),"-",REPT(" ",50)),50))*1)+IFERROR(MID(TRIM(RIGHT(SUBSTITUTE(SUBSTITUTE(K30,".",""),"-",REPT(" ",50)),50)),FIND(",",TRIM(RIGHT(SUBSTITUTE(SUBSTITUTE(K30,".",""),"-",REPT(" ",50)),50)))+1,9)/10^LEN(MID(TRIM(RIGHT(SUBSTITUTE(SUBSTITUTE(K30,".",""),"-",REPT(" ",50)),50)),FIND(",",TRIM(RIGHT(SUBSTITUTE(SUBSTITUTE(K30,".",""),"-",REPT(" ",50)),50)))+1,9)),0),"")))</f>
        <v/>
      </c>
      <c r="F80" s="45" t="str">
        <f aca="false">IF(K43="","",IF(ISNUMBER(K43),K43,IFERROR(IFERROR(LEFT(TRIM(RIGHT(SUBSTITUTE(SUBSTITUTE(K43,".",""),"-",REPT(" ",50)),50)),FIND(",",TRIM(RIGHT(SUBSTITUTE(SUBSTITUTE(K43,".",""),"-",REPT(" ",50)),50)))-1)*1,TRIM(RIGHT(SUBSTITUTE(SUBSTITUTE(K43,".",""),"-",REPT(" ",50)),50))*1)+IFERROR(MID(TRIM(RIGHT(SUBSTITUTE(SUBSTITUTE(K43,".",""),"-",REPT(" ",50)),50)),FIND(",",TRIM(RIGHT(SUBSTITUTE(SUBSTITUTE(K43,".",""),"-",REPT(" ",50)),50)))+1,9)/10^LEN(MID(TRIM(RIGHT(SUBSTITUTE(SUBSTITUTE(K43,".",""),"-",REPT(" ",50)),50)),FIND(",",TRIM(RIGHT(SUBSTITUTE(SUBSTITUTE(K43,".",""),"-",REPT(" ",50)),50)))+1,9)),0),"")))</f>
        <v/>
      </c>
      <c r="G80" s="45" t="str">
        <f aca="false">IF(K56="","",IF(ISNUMBER(K56),K56,IFERROR(IFERROR(LEFT(TRIM(RIGHT(SUBSTITUTE(SUBSTITUTE(K56,".",""),"-",REPT(" ",50)),50)),FIND(",",TRIM(RIGHT(SUBSTITUTE(SUBSTITUTE(K56,".",""),"-",REPT(" ",50)),50)))-1)*1,TRIM(RIGHT(SUBSTITUTE(SUBSTITUTE(K56,".",""),"-",REPT(" ",50)),50))*1)+IFERROR(MID(TRIM(RIGHT(SUBSTITUTE(SUBSTITUTE(K56,".",""),"-",REPT(" ",50)),50)),FIND(",",TRIM(RIGHT(SUBSTITUTE(SUBSTITUTE(K56,".",""),"-",REPT(" ",50)),50)))+1,9)/10^LEN(MID(TRIM(RIGHT(SUBSTITUTE(SUBSTITUTE(K56,".",""),"-",REPT(" ",50)),50)),FIND(",",TRIM(RIGHT(SUBSTITUTE(SUBSTITUTE(K56,".",""),"-",REPT(" ",50)),50)))+1,9)),0),"")))</f>
        <v/>
      </c>
      <c r="H80" s="45" t="str">
        <f aca="false">IF(K69="","",IF(ISNUMBER(K69),K69,IFERROR(IFERROR(LEFT(TRIM(RIGHT(SUBSTITUTE(SUBSTITUTE(K69,".",""),"-",REPT(" ",50)),50)),FIND(",",TRIM(RIGHT(SUBSTITUTE(SUBSTITUTE(K69,".",""),"-",REPT(" ",50)),50)))-1)*1,TRIM(RIGHT(SUBSTITUTE(SUBSTITUTE(K69,".",""),"-",REPT(" ",50)),50))*1)+IFERROR(MID(TRIM(RIGHT(SUBSTITUTE(SUBSTITUTE(K69,".",""),"-",REPT(" ",50)),50)),FIND(",",TRIM(RIGHT(SUBSTITUTE(SUBSTITUTE(K69,".",""),"-",REPT(" ",50)),50)))+1,9)/10^LEN(MID(TRIM(RIGHT(SUBSTITUTE(SUBSTITUTE(K69,".",""),"-",REPT(" ",50)),50)),FIND(",",TRIM(RIGHT(SUBSTITUTE(SUBSTITUTE(K69,".",""),"-",REPT(" ",50)),50)))+1,9)),0),"")))</f>
        <v/>
      </c>
      <c r="I80" s="46" t="str">
        <f aca="false">IF(OR(E80="",G80=""),"",G80-E80)</f>
        <v/>
      </c>
      <c r="J80" s="47" t="str">
        <f aca="false">IF(OR(E80="",G80="",E80=0),"",(G80-E80)/E80)</f>
        <v/>
      </c>
      <c r="K80" s="13" t="str">
        <f aca="false">IF(I80="","",IF(I80&gt;0,"▲ Progresa",IF(I80=0,"■ Estable","▼ Revisar")))</f>
        <v/>
      </c>
      <c r="L80" s="13"/>
      <c r="M80" s="13"/>
    </row>
    <row r="81" customFormat="false" ht="18" hidden="false" customHeight="true" outlineLevel="0" collapsed="false">
      <c r="B81" s="17" t="n">
        <v>4</v>
      </c>
      <c r="C81" s="39" t="str">
        <f aca="false">IF(D13="","",D13)</f>
        <v/>
      </c>
      <c r="D81" s="39"/>
      <c r="E81" s="48" t="str">
        <f aca="false">IF(K31="","",IF(ISNUMBER(K31),K31,IFERROR(IFERROR(LEFT(TRIM(RIGHT(SUBSTITUTE(SUBSTITUTE(K31,".",""),"-",REPT(" ",50)),50)),FIND(",",TRIM(RIGHT(SUBSTITUTE(SUBSTITUTE(K31,".",""),"-",REPT(" ",50)),50)))-1)*1,TRIM(RIGHT(SUBSTITUTE(SUBSTITUTE(K31,".",""),"-",REPT(" ",50)),50))*1)+IFERROR(MID(TRIM(RIGHT(SUBSTITUTE(SUBSTITUTE(K31,".",""),"-",REPT(" ",50)),50)),FIND(",",TRIM(RIGHT(SUBSTITUTE(SUBSTITUTE(K31,".",""),"-",REPT(" ",50)),50)))+1,9)/10^LEN(MID(TRIM(RIGHT(SUBSTITUTE(SUBSTITUTE(K31,".",""),"-",REPT(" ",50)),50)),FIND(",",TRIM(RIGHT(SUBSTITUTE(SUBSTITUTE(K31,".",""),"-",REPT(" ",50)),50)))+1,9)),0),"")))</f>
        <v/>
      </c>
      <c r="F81" s="48" t="str">
        <f aca="false">IF(K44="","",IF(ISNUMBER(K44),K44,IFERROR(IFERROR(LEFT(TRIM(RIGHT(SUBSTITUTE(SUBSTITUTE(K44,".",""),"-",REPT(" ",50)),50)),FIND(",",TRIM(RIGHT(SUBSTITUTE(SUBSTITUTE(K44,".",""),"-",REPT(" ",50)),50)))-1)*1,TRIM(RIGHT(SUBSTITUTE(SUBSTITUTE(K44,".",""),"-",REPT(" ",50)),50))*1)+IFERROR(MID(TRIM(RIGHT(SUBSTITUTE(SUBSTITUTE(K44,".",""),"-",REPT(" ",50)),50)),FIND(",",TRIM(RIGHT(SUBSTITUTE(SUBSTITUTE(K44,".",""),"-",REPT(" ",50)),50)))+1,9)/10^LEN(MID(TRIM(RIGHT(SUBSTITUTE(SUBSTITUTE(K44,".",""),"-",REPT(" ",50)),50)),FIND(",",TRIM(RIGHT(SUBSTITUTE(SUBSTITUTE(K44,".",""),"-",REPT(" ",50)),50)))+1,9)),0),"")))</f>
        <v/>
      </c>
      <c r="G81" s="48" t="str">
        <f aca="false">IF(K57="","",IF(ISNUMBER(K57),K57,IFERROR(IFERROR(LEFT(TRIM(RIGHT(SUBSTITUTE(SUBSTITUTE(K57,".",""),"-",REPT(" ",50)),50)),FIND(",",TRIM(RIGHT(SUBSTITUTE(SUBSTITUTE(K57,".",""),"-",REPT(" ",50)),50)))-1)*1,TRIM(RIGHT(SUBSTITUTE(SUBSTITUTE(K57,".",""),"-",REPT(" ",50)),50))*1)+IFERROR(MID(TRIM(RIGHT(SUBSTITUTE(SUBSTITUTE(K57,".",""),"-",REPT(" ",50)),50)),FIND(",",TRIM(RIGHT(SUBSTITUTE(SUBSTITUTE(K57,".",""),"-",REPT(" ",50)),50)))+1,9)/10^LEN(MID(TRIM(RIGHT(SUBSTITUTE(SUBSTITUTE(K57,".",""),"-",REPT(" ",50)),50)),FIND(",",TRIM(RIGHT(SUBSTITUTE(SUBSTITUTE(K57,".",""),"-",REPT(" ",50)),50)))+1,9)),0),"")))</f>
        <v/>
      </c>
      <c r="H81" s="48" t="str">
        <f aca="false">IF(K70="","",IF(ISNUMBER(K70),K70,IFERROR(IFERROR(LEFT(TRIM(RIGHT(SUBSTITUTE(SUBSTITUTE(K70,".",""),"-",REPT(" ",50)),50)),FIND(",",TRIM(RIGHT(SUBSTITUTE(SUBSTITUTE(K70,".",""),"-",REPT(" ",50)),50)))-1)*1,TRIM(RIGHT(SUBSTITUTE(SUBSTITUTE(K70,".",""),"-",REPT(" ",50)),50))*1)+IFERROR(MID(TRIM(RIGHT(SUBSTITUTE(SUBSTITUTE(K70,".",""),"-",REPT(" ",50)),50)),FIND(",",TRIM(RIGHT(SUBSTITUTE(SUBSTITUTE(K70,".",""),"-",REPT(" ",50)),50)))+1,9)/10^LEN(MID(TRIM(RIGHT(SUBSTITUTE(SUBSTITUTE(K70,".",""),"-",REPT(" ",50)),50)),FIND(",",TRIM(RIGHT(SUBSTITUTE(SUBSTITUTE(K70,".",""),"-",REPT(" ",50)),50)))+1,9)),0),"")))</f>
        <v/>
      </c>
      <c r="I81" s="49" t="str">
        <f aca="false">IF(OR(E81="",G81=""),"",G81-E81)</f>
        <v/>
      </c>
      <c r="J81" s="50" t="str">
        <f aca="false">IF(OR(E81="",G81="",E81=0),"",(G81-E81)/E81)</f>
        <v/>
      </c>
      <c r="K81" s="18" t="str">
        <f aca="false">IF(I81="","",IF(I81&gt;0,"▲ Progresa",IF(I81=0,"■ Estable","▼ Revisar")))</f>
        <v/>
      </c>
      <c r="L81" s="18"/>
      <c r="M81" s="18"/>
    </row>
    <row r="82" customFormat="false" ht="18" hidden="false" customHeight="true" outlineLevel="0" collapsed="false">
      <c r="B82" s="12" t="n">
        <v>5</v>
      </c>
      <c r="C82" s="44" t="str">
        <f aca="false">IF(D14="","",D14)</f>
        <v/>
      </c>
      <c r="D82" s="44"/>
      <c r="E82" s="45" t="str">
        <f aca="false">IF(K32="","",IF(ISNUMBER(K32),K32,IFERROR(IFERROR(LEFT(TRIM(RIGHT(SUBSTITUTE(SUBSTITUTE(K32,".",""),"-",REPT(" ",50)),50)),FIND(",",TRIM(RIGHT(SUBSTITUTE(SUBSTITUTE(K32,".",""),"-",REPT(" ",50)),50)))-1)*1,TRIM(RIGHT(SUBSTITUTE(SUBSTITUTE(K32,".",""),"-",REPT(" ",50)),50))*1)+IFERROR(MID(TRIM(RIGHT(SUBSTITUTE(SUBSTITUTE(K32,".",""),"-",REPT(" ",50)),50)),FIND(",",TRIM(RIGHT(SUBSTITUTE(SUBSTITUTE(K32,".",""),"-",REPT(" ",50)),50)))+1,9)/10^LEN(MID(TRIM(RIGHT(SUBSTITUTE(SUBSTITUTE(K32,".",""),"-",REPT(" ",50)),50)),FIND(",",TRIM(RIGHT(SUBSTITUTE(SUBSTITUTE(K32,".",""),"-",REPT(" ",50)),50)))+1,9)),0),"")))</f>
        <v/>
      </c>
      <c r="F82" s="45" t="str">
        <f aca="false">IF(K45="","",IF(ISNUMBER(K45),K45,IFERROR(IFERROR(LEFT(TRIM(RIGHT(SUBSTITUTE(SUBSTITUTE(K45,".",""),"-",REPT(" ",50)),50)),FIND(",",TRIM(RIGHT(SUBSTITUTE(SUBSTITUTE(K45,".",""),"-",REPT(" ",50)),50)))-1)*1,TRIM(RIGHT(SUBSTITUTE(SUBSTITUTE(K45,".",""),"-",REPT(" ",50)),50))*1)+IFERROR(MID(TRIM(RIGHT(SUBSTITUTE(SUBSTITUTE(K45,".",""),"-",REPT(" ",50)),50)),FIND(",",TRIM(RIGHT(SUBSTITUTE(SUBSTITUTE(K45,".",""),"-",REPT(" ",50)),50)))+1,9)/10^LEN(MID(TRIM(RIGHT(SUBSTITUTE(SUBSTITUTE(K45,".",""),"-",REPT(" ",50)),50)),FIND(",",TRIM(RIGHT(SUBSTITUTE(SUBSTITUTE(K45,".",""),"-",REPT(" ",50)),50)))+1,9)),0),"")))</f>
        <v/>
      </c>
      <c r="G82" s="45" t="str">
        <f aca="false">IF(K58="","",IF(ISNUMBER(K58),K58,IFERROR(IFERROR(LEFT(TRIM(RIGHT(SUBSTITUTE(SUBSTITUTE(K58,".",""),"-",REPT(" ",50)),50)),FIND(",",TRIM(RIGHT(SUBSTITUTE(SUBSTITUTE(K58,".",""),"-",REPT(" ",50)),50)))-1)*1,TRIM(RIGHT(SUBSTITUTE(SUBSTITUTE(K58,".",""),"-",REPT(" ",50)),50))*1)+IFERROR(MID(TRIM(RIGHT(SUBSTITUTE(SUBSTITUTE(K58,".",""),"-",REPT(" ",50)),50)),FIND(",",TRIM(RIGHT(SUBSTITUTE(SUBSTITUTE(K58,".",""),"-",REPT(" ",50)),50)))+1,9)/10^LEN(MID(TRIM(RIGHT(SUBSTITUTE(SUBSTITUTE(K58,".",""),"-",REPT(" ",50)),50)),FIND(",",TRIM(RIGHT(SUBSTITUTE(SUBSTITUTE(K58,".",""),"-",REPT(" ",50)),50)))+1,9)),0),"")))</f>
        <v/>
      </c>
      <c r="H82" s="45" t="str">
        <f aca="false">IF(K71="","",IF(ISNUMBER(K71),K71,IFERROR(IFERROR(LEFT(TRIM(RIGHT(SUBSTITUTE(SUBSTITUTE(K71,".",""),"-",REPT(" ",50)),50)),FIND(",",TRIM(RIGHT(SUBSTITUTE(SUBSTITUTE(K71,".",""),"-",REPT(" ",50)),50)))-1)*1,TRIM(RIGHT(SUBSTITUTE(SUBSTITUTE(K71,".",""),"-",REPT(" ",50)),50))*1)+IFERROR(MID(TRIM(RIGHT(SUBSTITUTE(SUBSTITUTE(K71,".",""),"-",REPT(" ",50)),50)),FIND(",",TRIM(RIGHT(SUBSTITUTE(SUBSTITUTE(K71,".",""),"-",REPT(" ",50)),50)))+1,9)/10^LEN(MID(TRIM(RIGHT(SUBSTITUTE(SUBSTITUTE(K71,".",""),"-",REPT(" ",50)),50)),FIND(",",TRIM(RIGHT(SUBSTITUTE(SUBSTITUTE(K71,".",""),"-",REPT(" ",50)),50)))+1,9)),0),"")))</f>
        <v/>
      </c>
      <c r="I82" s="46" t="str">
        <f aca="false">IF(OR(E82="",G82=""),"",G82-E82)</f>
        <v/>
      </c>
      <c r="J82" s="47" t="str">
        <f aca="false">IF(OR(E82="",G82="",E82=0),"",(G82-E82)/E82)</f>
        <v/>
      </c>
      <c r="K82" s="13" t="str">
        <f aca="false">IF(I82="","",IF(I82&gt;0,"▲ Progresa",IF(I82=0,"■ Estable","▼ Revisar")))</f>
        <v/>
      </c>
      <c r="L82" s="13"/>
      <c r="M82" s="13"/>
    </row>
    <row r="83" customFormat="false" ht="18" hidden="false" customHeight="true" outlineLevel="0" collapsed="false">
      <c r="B83" s="17" t="n">
        <v>6</v>
      </c>
      <c r="C83" s="39" t="str">
        <f aca="false">IF(D15="","",D15)</f>
        <v/>
      </c>
      <c r="D83" s="39"/>
      <c r="E83" s="48" t="str">
        <f aca="false">IF(K33="","",IF(ISNUMBER(K33),K33,IFERROR(IFERROR(LEFT(TRIM(RIGHT(SUBSTITUTE(SUBSTITUTE(K33,".",""),"-",REPT(" ",50)),50)),FIND(",",TRIM(RIGHT(SUBSTITUTE(SUBSTITUTE(K33,".",""),"-",REPT(" ",50)),50)))-1)*1,TRIM(RIGHT(SUBSTITUTE(SUBSTITUTE(K33,".",""),"-",REPT(" ",50)),50))*1)+IFERROR(MID(TRIM(RIGHT(SUBSTITUTE(SUBSTITUTE(K33,".",""),"-",REPT(" ",50)),50)),FIND(",",TRIM(RIGHT(SUBSTITUTE(SUBSTITUTE(K33,".",""),"-",REPT(" ",50)),50)))+1,9)/10^LEN(MID(TRIM(RIGHT(SUBSTITUTE(SUBSTITUTE(K33,".",""),"-",REPT(" ",50)),50)),FIND(",",TRIM(RIGHT(SUBSTITUTE(SUBSTITUTE(K33,".",""),"-",REPT(" ",50)),50)))+1,9)),0),"")))</f>
        <v/>
      </c>
      <c r="F83" s="48" t="str">
        <f aca="false">IF(K46="","",IF(ISNUMBER(K46),K46,IFERROR(IFERROR(LEFT(TRIM(RIGHT(SUBSTITUTE(SUBSTITUTE(K46,".",""),"-",REPT(" ",50)),50)),FIND(",",TRIM(RIGHT(SUBSTITUTE(SUBSTITUTE(K46,".",""),"-",REPT(" ",50)),50)))-1)*1,TRIM(RIGHT(SUBSTITUTE(SUBSTITUTE(K46,".",""),"-",REPT(" ",50)),50))*1)+IFERROR(MID(TRIM(RIGHT(SUBSTITUTE(SUBSTITUTE(K46,".",""),"-",REPT(" ",50)),50)),FIND(",",TRIM(RIGHT(SUBSTITUTE(SUBSTITUTE(K46,".",""),"-",REPT(" ",50)),50)))+1,9)/10^LEN(MID(TRIM(RIGHT(SUBSTITUTE(SUBSTITUTE(K46,".",""),"-",REPT(" ",50)),50)),FIND(",",TRIM(RIGHT(SUBSTITUTE(SUBSTITUTE(K46,".",""),"-",REPT(" ",50)),50)))+1,9)),0),"")))</f>
        <v/>
      </c>
      <c r="G83" s="48" t="str">
        <f aca="false">IF(K59="","",IF(ISNUMBER(K59),K59,IFERROR(IFERROR(LEFT(TRIM(RIGHT(SUBSTITUTE(SUBSTITUTE(K59,".",""),"-",REPT(" ",50)),50)),FIND(",",TRIM(RIGHT(SUBSTITUTE(SUBSTITUTE(K59,".",""),"-",REPT(" ",50)),50)))-1)*1,TRIM(RIGHT(SUBSTITUTE(SUBSTITUTE(K59,".",""),"-",REPT(" ",50)),50))*1)+IFERROR(MID(TRIM(RIGHT(SUBSTITUTE(SUBSTITUTE(K59,".",""),"-",REPT(" ",50)),50)),FIND(",",TRIM(RIGHT(SUBSTITUTE(SUBSTITUTE(K59,".",""),"-",REPT(" ",50)),50)))+1,9)/10^LEN(MID(TRIM(RIGHT(SUBSTITUTE(SUBSTITUTE(K59,".",""),"-",REPT(" ",50)),50)),FIND(",",TRIM(RIGHT(SUBSTITUTE(SUBSTITUTE(K59,".",""),"-",REPT(" ",50)),50)))+1,9)),0),"")))</f>
        <v/>
      </c>
      <c r="H83" s="48" t="str">
        <f aca="false">IF(K72="","",IF(ISNUMBER(K72),K72,IFERROR(IFERROR(LEFT(TRIM(RIGHT(SUBSTITUTE(SUBSTITUTE(K72,".",""),"-",REPT(" ",50)),50)),FIND(",",TRIM(RIGHT(SUBSTITUTE(SUBSTITUTE(K72,".",""),"-",REPT(" ",50)),50)))-1)*1,TRIM(RIGHT(SUBSTITUTE(SUBSTITUTE(K72,".",""),"-",REPT(" ",50)),50))*1)+IFERROR(MID(TRIM(RIGHT(SUBSTITUTE(SUBSTITUTE(K72,".",""),"-",REPT(" ",50)),50)),FIND(",",TRIM(RIGHT(SUBSTITUTE(SUBSTITUTE(K72,".",""),"-",REPT(" ",50)),50)))+1,9)/10^LEN(MID(TRIM(RIGHT(SUBSTITUTE(SUBSTITUTE(K72,".",""),"-",REPT(" ",50)),50)),FIND(",",TRIM(RIGHT(SUBSTITUTE(SUBSTITUTE(K72,".",""),"-",REPT(" ",50)),50)))+1,9)),0),"")))</f>
        <v/>
      </c>
      <c r="I83" s="49" t="str">
        <f aca="false">IF(OR(E83="",G83=""),"",G83-E83)</f>
        <v/>
      </c>
      <c r="J83" s="50" t="str">
        <f aca="false">IF(OR(E83="",G83="",E83=0),"",(G83-E83)/E83)</f>
        <v/>
      </c>
      <c r="K83" s="18" t="str">
        <f aca="false">IF(I83="","",IF(I83&gt;0,"▲ Progresa",IF(I83=0,"■ Estable","▼ Revisar")))</f>
        <v/>
      </c>
      <c r="L83" s="18"/>
      <c r="M83" s="18"/>
    </row>
    <row r="84" customFormat="false" ht="18" hidden="false" customHeight="true" outlineLevel="0" collapsed="false">
      <c r="B84" s="12" t="n">
        <v>7</v>
      </c>
      <c r="C84" s="44" t="str">
        <f aca="false">IF(D16="","",D16)</f>
        <v/>
      </c>
      <c r="D84" s="44"/>
      <c r="E84" s="45" t="str">
        <f aca="false">IF(K34="","",IF(ISNUMBER(K34),K34,IFERROR(IFERROR(LEFT(TRIM(RIGHT(SUBSTITUTE(SUBSTITUTE(K34,".",""),"-",REPT(" ",50)),50)),FIND(",",TRIM(RIGHT(SUBSTITUTE(SUBSTITUTE(K34,".",""),"-",REPT(" ",50)),50)))-1)*1,TRIM(RIGHT(SUBSTITUTE(SUBSTITUTE(K34,".",""),"-",REPT(" ",50)),50))*1)+IFERROR(MID(TRIM(RIGHT(SUBSTITUTE(SUBSTITUTE(K34,".",""),"-",REPT(" ",50)),50)),FIND(",",TRIM(RIGHT(SUBSTITUTE(SUBSTITUTE(K34,".",""),"-",REPT(" ",50)),50)))+1,9)/10^LEN(MID(TRIM(RIGHT(SUBSTITUTE(SUBSTITUTE(K34,".",""),"-",REPT(" ",50)),50)),FIND(",",TRIM(RIGHT(SUBSTITUTE(SUBSTITUTE(K34,".",""),"-",REPT(" ",50)),50)))+1,9)),0),"")))</f>
        <v/>
      </c>
      <c r="F84" s="45" t="str">
        <f aca="false">IF(K47="","",IF(ISNUMBER(K47),K47,IFERROR(IFERROR(LEFT(TRIM(RIGHT(SUBSTITUTE(SUBSTITUTE(K47,".",""),"-",REPT(" ",50)),50)),FIND(",",TRIM(RIGHT(SUBSTITUTE(SUBSTITUTE(K47,".",""),"-",REPT(" ",50)),50)))-1)*1,TRIM(RIGHT(SUBSTITUTE(SUBSTITUTE(K47,".",""),"-",REPT(" ",50)),50))*1)+IFERROR(MID(TRIM(RIGHT(SUBSTITUTE(SUBSTITUTE(K47,".",""),"-",REPT(" ",50)),50)),FIND(",",TRIM(RIGHT(SUBSTITUTE(SUBSTITUTE(K47,".",""),"-",REPT(" ",50)),50)))+1,9)/10^LEN(MID(TRIM(RIGHT(SUBSTITUTE(SUBSTITUTE(K47,".",""),"-",REPT(" ",50)),50)),FIND(",",TRIM(RIGHT(SUBSTITUTE(SUBSTITUTE(K47,".",""),"-",REPT(" ",50)),50)))+1,9)),0),"")))</f>
        <v/>
      </c>
      <c r="G84" s="45" t="str">
        <f aca="false">IF(K60="","",IF(ISNUMBER(K60),K60,IFERROR(IFERROR(LEFT(TRIM(RIGHT(SUBSTITUTE(SUBSTITUTE(K60,".",""),"-",REPT(" ",50)),50)),FIND(",",TRIM(RIGHT(SUBSTITUTE(SUBSTITUTE(K60,".",""),"-",REPT(" ",50)),50)))-1)*1,TRIM(RIGHT(SUBSTITUTE(SUBSTITUTE(K60,".",""),"-",REPT(" ",50)),50))*1)+IFERROR(MID(TRIM(RIGHT(SUBSTITUTE(SUBSTITUTE(K60,".",""),"-",REPT(" ",50)),50)),FIND(",",TRIM(RIGHT(SUBSTITUTE(SUBSTITUTE(K60,".",""),"-",REPT(" ",50)),50)))+1,9)/10^LEN(MID(TRIM(RIGHT(SUBSTITUTE(SUBSTITUTE(K60,".",""),"-",REPT(" ",50)),50)),FIND(",",TRIM(RIGHT(SUBSTITUTE(SUBSTITUTE(K60,".",""),"-",REPT(" ",50)),50)))+1,9)),0),"")))</f>
        <v/>
      </c>
      <c r="H84" s="45" t="str">
        <f aca="false">IF(K73="","",IF(ISNUMBER(K73),K73,IFERROR(IFERROR(LEFT(TRIM(RIGHT(SUBSTITUTE(SUBSTITUTE(K73,".",""),"-",REPT(" ",50)),50)),FIND(",",TRIM(RIGHT(SUBSTITUTE(SUBSTITUTE(K73,".",""),"-",REPT(" ",50)),50)))-1)*1,TRIM(RIGHT(SUBSTITUTE(SUBSTITUTE(K73,".",""),"-",REPT(" ",50)),50))*1)+IFERROR(MID(TRIM(RIGHT(SUBSTITUTE(SUBSTITUTE(K73,".",""),"-",REPT(" ",50)),50)),FIND(",",TRIM(RIGHT(SUBSTITUTE(SUBSTITUTE(K73,".",""),"-",REPT(" ",50)),50)))+1,9)/10^LEN(MID(TRIM(RIGHT(SUBSTITUTE(SUBSTITUTE(K73,".",""),"-",REPT(" ",50)),50)),FIND(",",TRIM(RIGHT(SUBSTITUTE(SUBSTITUTE(K73,".",""),"-",REPT(" ",50)),50)))+1,9)),0),"")))</f>
        <v/>
      </c>
      <c r="I84" s="46" t="str">
        <f aca="false">IF(OR(E84="",G84=""),"",G84-E84)</f>
        <v/>
      </c>
      <c r="J84" s="47" t="str">
        <f aca="false">IF(OR(E84="",G84="",E84=0),"",(G84-E84)/E84)</f>
        <v/>
      </c>
      <c r="K84" s="13" t="str">
        <f aca="false">IF(I84="","",IF(I84&gt;0,"▲ Progresa",IF(I84=0,"■ Estable","▼ Revisar")))</f>
        <v/>
      </c>
      <c r="L84" s="13"/>
      <c r="M84" s="13"/>
    </row>
    <row r="85" customFormat="false" ht="18" hidden="false" customHeight="true" outlineLevel="0" collapsed="false">
      <c r="B85" s="17" t="n">
        <v>8</v>
      </c>
      <c r="C85" s="39" t="str">
        <f aca="false">IF(D17="","",D17)</f>
        <v/>
      </c>
      <c r="D85" s="39"/>
      <c r="E85" s="48" t="str">
        <f aca="false">IF(K35="","",IF(ISNUMBER(K35),K35,IFERROR(IFERROR(LEFT(TRIM(RIGHT(SUBSTITUTE(SUBSTITUTE(K35,".",""),"-",REPT(" ",50)),50)),FIND(",",TRIM(RIGHT(SUBSTITUTE(SUBSTITUTE(K35,".",""),"-",REPT(" ",50)),50)))-1)*1,TRIM(RIGHT(SUBSTITUTE(SUBSTITUTE(K35,".",""),"-",REPT(" ",50)),50))*1)+IFERROR(MID(TRIM(RIGHT(SUBSTITUTE(SUBSTITUTE(K35,".",""),"-",REPT(" ",50)),50)),FIND(",",TRIM(RIGHT(SUBSTITUTE(SUBSTITUTE(K35,".",""),"-",REPT(" ",50)),50)))+1,9)/10^LEN(MID(TRIM(RIGHT(SUBSTITUTE(SUBSTITUTE(K35,".",""),"-",REPT(" ",50)),50)),FIND(",",TRIM(RIGHT(SUBSTITUTE(SUBSTITUTE(K35,".",""),"-",REPT(" ",50)),50)))+1,9)),0),"")))</f>
        <v/>
      </c>
      <c r="F85" s="48" t="str">
        <f aca="false">IF(K48="","",IF(ISNUMBER(K48),K48,IFERROR(IFERROR(LEFT(TRIM(RIGHT(SUBSTITUTE(SUBSTITUTE(K48,".",""),"-",REPT(" ",50)),50)),FIND(",",TRIM(RIGHT(SUBSTITUTE(SUBSTITUTE(K48,".",""),"-",REPT(" ",50)),50)))-1)*1,TRIM(RIGHT(SUBSTITUTE(SUBSTITUTE(K48,".",""),"-",REPT(" ",50)),50))*1)+IFERROR(MID(TRIM(RIGHT(SUBSTITUTE(SUBSTITUTE(K48,".",""),"-",REPT(" ",50)),50)),FIND(",",TRIM(RIGHT(SUBSTITUTE(SUBSTITUTE(K48,".",""),"-",REPT(" ",50)),50)))+1,9)/10^LEN(MID(TRIM(RIGHT(SUBSTITUTE(SUBSTITUTE(K48,".",""),"-",REPT(" ",50)),50)),FIND(",",TRIM(RIGHT(SUBSTITUTE(SUBSTITUTE(K48,".",""),"-",REPT(" ",50)),50)))+1,9)),0),"")))</f>
        <v/>
      </c>
      <c r="G85" s="48" t="str">
        <f aca="false">IF(K61="","",IF(ISNUMBER(K61),K61,IFERROR(IFERROR(LEFT(TRIM(RIGHT(SUBSTITUTE(SUBSTITUTE(K61,".",""),"-",REPT(" ",50)),50)),FIND(",",TRIM(RIGHT(SUBSTITUTE(SUBSTITUTE(K61,".",""),"-",REPT(" ",50)),50)))-1)*1,TRIM(RIGHT(SUBSTITUTE(SUBSTITUTE(K61,".",""),"-",REPT(" ",50)),50))*1)+IFERROR(MID(TRIM(RIGHT(SUBSTITUTE(SUBSTITUTE(K61,".",""),"-",REPT(" ",50)),50)),FIND(",",TRIM(RIGHT(SUBSTITUTE(SUBSTITUTE(K61,".",""),"-",REPT(" ",50)),50)))+1,9)/10^LEN(MID(TRIM(RIGHT(SUBSTITUTE(SUBSTITUTE(K61,".",""),"-",REPT(" ",50)),50)),FIND(",",TRIM(RIGHT(SUBSTITUTE(SUBSTITUTE(K61,".",""),"-",REPT(" ",50)),50)))+1,9)),0),"")))</f>
        <v/>
      </c>
      <c r="H85" s="48" t="str">
        <f aca="false">IF(K74="","",IF(ISNUMBER(K74),K74,IFERROR(IFERROR(LEFT(TRIM(RIGHT(SUBSTITUTE(SUBSTITUTE(K74,".",""),"-",REPT(" ",50)),50)),FIND(",",TRIM(RIGHT(SUBSTITUTE(SUBSTITUTE(K74,".",""),"-",REPT(" ",50)),50)))-1)*1,TRIM(RIGHT(SUBSTITUTE(SUBSTITUTE(K74,".",""),"-",REPT(" ",50)),50))*1)+IFERROR(MID(TRIM(RIGHT(SUBSTITUTE(SUBSTITUTE(K74,".",""),"-",REPT(" ",50)),50)),FIND(",",TRIM(RIGHT(SUBSTITUTE(SUBSTITUTE(K74,".",""),"-",REPT(" ",50)),50)))+1,9)/10^LEN(MID(TRIM(RIGHT(SUBSTITUTE(SUBSTITUTE(K74,".",""),"-",REPT(" ",50)),50)),FIND(",",TRIM(RIGHT(SUBSTITUTE(SUBSTITUTE(K74,".",""),"-",REPT(" ",50)),50)))+1,9)),0),"")))</f>
        <v/>
      </c>
      <c r="I85" s="49" t="str">
        <f aca="false">IF(OR(E85="",G85=""),"",G85-E85)</f>
        <v/>
      </c>
      <c r="J85" s="50" t="str">
        <f aca="false">IF(OR(E85="",G85="",E85=0),"",(G85-E85)/E85)</f>
        <v/>
      </c>
      <c r="K85" s="18" t="str">
        <f aca="false">IF(I85="","",IF(I85&gt;0,"▲ Progresa",IF(I85=0,"■ Estable","▼ Revisar")))</f>
        <v/>
      </c>
      <c r="L85" s="18"/>
      <c r="M85" s="18"/>
    </row>
    <row r="86" customFormat="false" ht="15" hidden="false" customHeight="true" outlineLevel="0" collapsed="false">
      <c r="B86" s="51" t="s">
        <v>95</v>
      </c>
    </row>
    <row r="88" customFormat="false" ht="19.5" hidden="false" customHeight="true" outlineLevel="0" collapsed="false">
      <c r="B88" s="52" t="s">
        <v>96</v>
      </c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</row>
    <row r="89" customFormat="false" ht="18" hidden="false" customHeight="true" outlineLevel="0" collapsed="false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</row>
    <row r="90" customFormat="false" ht="18" hidden="false" customHeight="true" outlineLevel="0" collapsed="false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</row>
    <row r="91" customFormat="false" ht="18" hidden="false" customHeight="true" outlineLevel="0" collapsed="false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</row>
    <row r="93" customFormat="false" ht="19.5" hidden="false" customHeight="true" outlineLevel="0" collapsed="false">
      <c r="B93" s="53" t="s">
        <v>97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customFormat="false" ht="18" hidden="false" customHeight="true" outlineLevel="0" collapsed="false"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</row>
    <row r="95" customFormat="false" ht="18" hidden="false" customHeight="true" outlineLevel="0" collapsed="false"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</row>
    <row r="96" customFormat="false" ht="18" hidden="false" customHeight="true" outlineLevel="0" collapsed="false"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</row>
    <row r="98" customFormat="false" ht="19.5" hidden="false" customHeight="true" outlineLevel="0" collapsed="false">
      <c r="B98" s="4" t="s">
        <v>98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customFormat="false" ht="18" hidden="false" customHeight="true" outlineLevel="0" collapsed="false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</row>
    <row r="100" customFormat="false" ht="18" hidden="false" customHeight="true" outlineLevel="0" collapsed="false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 customFormat="false" ht="18" hidden="false" customHeight="true" outlineLevel="0" collapsed="false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</row>
  </sheetData>
  <mergeCells count="111">
    <mergeCell ref="B2:M2"/>
    <mergeCell ref="B3:M3"/>
    <mergeCell ref="C5:D5"/>
    <mergeCell ref="F5:I5"/>
    <mergeCell ref="K5:M5"/>
    <mergeCell ref="B6:M6"/>
    <mergeCell ref="B8:M8"/>
    <mergeCell ref="H9:L9"/>
    <mergeCell ref="H10:L10"/>
    <mergeCell ref="H11:L11"/>
    <mergeCell ref="H12:L12"/>
    <mergeCell ref="H13:L13"/>
    <mergeCell ref="H14:L14"/>
    <mergeCell ref="H15:L15"/>
    <mergeCell ref="H16:L16"/>
    <mergeCell ref="H17:L17"/>
    <mergeCell ref="B19:M19"/>
    <mergeCell ref="B20:M20"/>
    <mergeCell ref="B21:M21"/>
    <mergeCell ref="B22:M22"/>
    <mergeCell ref="B24:M24"/>
    <mergeCell ref="B25:C25"/>
    <mergeCell ref="E25:F25"/>
    <mergeCell ref="H25:J25"/>
    <mergeCell ref="E26:H26"/>
    <mergeCell ref="I26:L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B37:M37"/>
    <mergeCell ref="B38:C38"/>
    <mergeCell ref="E38:F38"/>
    <mergeCell ref="H38:J38"/>
    <mergeCell ref="E39:H39"/>
    <mergeCell ref="I39:L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B50:M50"/>
    <mergeCell ref="B51:C51"/>
    <mergeCell ref="E51:F51"/>
    <mergeCell ref="H51:J51"/>
    <mergeCell ref="E52:H52"/>
    <mergeCell ref="I52:L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B63:M63"/>
    <mergeCell ref="B64:C64"/>
    <mergeCell ref="E64:F64"/>
    <mergeCell ref="H64:J64"/>
    <mergeCell ref="E65:H65"/>
    <mergeCell ref="I65:L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B76:M76"/>
    <mergeCell ref="C77:D77"/>
    <mergeCell ref="K77:M77"/>
    <mergeCell ref="C78:D78"/>
    <mergeCell ref="K78:M78"/>
    <mergeCell ref="C79:D79"/>
    <mergeCell ref="K79:M79"/>
    <mergeCell ref="C80:D80"/>
    <mergeCell ref="K80:M80"/>
    <mergeCell ref="C81:D81"/>
    <mergeCell ref="K81:M81"/>
    <mergeCell ref="C82:D82"/>
    <mergeCell ref="K82:M82"/>
    <mergeCell ref="C83:D83"/>
    <mergeCell ref="K83:M83"/>
    <mergeCell ref="C84:D84"/>
    <mergeCell ref="K84:M84"/>
    <mergeCell ref="C85:D85"/>
    <mergeCell ref="K85:M85"/>
    <mergeCell ref="B88:M88"/>
    <mergeCell ref="B89:M89"/>
    <mergeCell ref="B90:M90"/>
    <mergeCell ref="B91:M91"/>
    <mergeCell ref="B93:M93"/>
    <mergeCell ref="B94:M94"/>
    <mergeCell ref="B95:M95"/>
    <mergeCell ref="B96:M96"/>
    <mergeCell ref="B98:M98"/>
    <mergeCell ref="B99:M99"/>
    <mergeCell ref="B100:M100"/>
    <mergeCell ref="B101:M101"/>
  </mergeCells>
  <conditionalFormatting sqref="K78:K85">
    <cfRule type="expression" priority="2" aboveAverage="0" equalAverage="0" bottom="0" percent="0" rank="0" text="" dxfId="0">
      <formula>LEFT(K78,1)="▲"</formula>
    </cfRule>
    <cfRule type="expression" priority="3" aboveAverage="0" equalAverage="0" bottom="0" percent="0" rank="0" text="" dxfId="1">
      <formula>LEFT(K78,1)="▼"</formula>
    </cfRule>
  </conditionalFormatting>
  <dataValidations count="2">
    <dataValidation allowBlank="true" errorStyle="stop" operator="between" showDropDown="false" showErrorMessage="false" showInputMessage="false" sqref="D10:D17" type="list">
      <formula1>Biblioteca!$C$6:$C$150</formula1>
      <formula2>0</formula2>
    </dataValidation>
    <dataValidation allowBlank="true" errorStyle="stop" operator="between" showDropDown="false" showErrorMessage="false" showInputMessage="false" sqref="E10:E17" type="list">
      <formula1>"Pecho,Espalda,Hombro,Bíceps,Tríceps,Cuádriceps,Isquios,Glúteo,Gemelo,Core,Full body,Cardio"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Tactical Biscuit Training  ·  Página &amp;P de &amp;N</oddFooter>
  </headerFooter>
  <rowBreaks count="2" manualBreakCount="2">
    <brk id="36" man="true" max="16383" min="0"/>
    <brk id="62" man="true" max="16383" min="0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6" min="5" style="1" width="12"/>
    <col collapsed="false" customWidth="true" hidden="false" outlineLevel="0" max="9" min="7" style="1" width="11"/>
    <col collapsed="false" customWidth="true" hidden="false" outlineLevel="0" max="11" min="10" style="1" width="13"/>
    <col collapsed="false" customWidth="true" hidden="false" outlineLevel="0" max="12" min="12" style="1" width="34"/>
  </cols>
  <sheetData>
    <row r="2" customFormat="false" ht="36" hidden="false" customHeight="true" outlineLevel="0" collapsed="false">
      <c r="B2" s="2" t="s">
        <v>102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9.5" hidden="false" customHeight="true" outlineLevel="0" collapsed="false">
      <c r="B3" s="3" t="s">
        <v>103</v>
      </c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33.75" hidden="false" customHeight="true" outlineLevel="0" collapsed="false">
      <c r="B5" s="37" t="s">
        <v>13</v>
      </c>
      <c r="C5" s="37" t="s">
        <v>104</v>
      </c>
      <c r="D5" s="37" t="s">
        <v>105</v>
      </c>
      <c r="E5" s="37" t="s">
        <v>106</v>
      </c>
      <c r="F5" s="37" t="s">
        <v>107</v>
      </c>
      <c r="G5" s="37" t="s">
        <v>108</v>
      </c>
      <c r="H5" s="37" t="s">
        <v>109</v>
      </c>
      <c r="I5" s="37" t="s">
        <v>110</v>
      </c>
      <c r="J5" s="37" t="s">
        <v>111</v>
      </c>
      <c r="K5" s="37" t="s">
        <v>112</v>
      </c>
      <c r="L5" s="37" t="s">
        <v>113</v>
      </c>
    </row>
    <row r="6" customFormat="false" ht="30" hidden="false" customHeight="true" outlineLevel="0" collapsed="false">
      <c r="B6" s="17" t="s">
        <v>20</v>
      </c>
      <c r="C6" s="33"/>
      <c r="D6" s="34"/>
      <c r="E6" s="34"/>
      <c r="F6" s="34"/>
      <c r="G6" s="34"/>
      <c r="H6" s="34"/>
      <c r="I6" s="34"/>
      <c r="J6" s="54"/>
      <c r="K6" s="18" t="str">
        <f aca="false">COUNT('Día A'!D25,'Día B'!D25,'Día C'!D25,'Día D'!D25)&amp;" / "&amp;IF(Resumen!$C$10="",4,Resumen!$C$10)</f>
        <v>0 / 4</v>
      </c>
      <c r="L6" s="42"/>
    </row>
    <row r="7" customFormat="false" ht="30" hidden="false" customHeight="true" outlineLevel="0" collapsed="false">
      <c r="B7" s="17" t="s">
        <v>24</v>
      </c>
      <c r="C7" s="33"/>
      <c r="D7" s="34"/>
      <c r="E7" s="34"/>
      <c r="F7" s="34"/>
      <c r="G7" s="34"/>
      <c r="H7" s="34"/>
      <c r="I7" s="34"/>
      <c r="J7" s="54"/>
      <c r="K7" s="18" t="str">
        <f aca="false">COUNT('Día A'!D38,'Día B'!D38,'Día C'!D38,'Día D'!D38)&amp;" / "&amp;IF(Resumen!$C$10="",4,Resumen!$C$10)</f>
        <v>0 / 4</v>
      </c>
      <c r="L7" s="42"/>
    </row>
    <row r="8" customFormat="false" ht="30" hidden="false" customHeight="true" outlineLevel="0" collapsed="false">
      <c r="B8" s="17" t="s">
        <v>28</v>
      </c>
      <c r="C8" s="33"/>
      <c r="D8" s="34"/>
      <c r="E8" s="34"/>
      <c r="F8" s="34"/>
      <c r="G8" s="34"/>
      <c r="H8" s="34"/>
      <c r="I8" s="34"/>
      <c r="J8" s="54"/>
      <c r="K8" s="18" t="str">
        <f aca="false">COUNT('Día A'!D51,'Día B'!D51,'Día C'!D51,'Día D'!D51)&amp;" / "&amp;IF(Resumen!$C$10="",4,Resumen!$C$10)</f>
        <v>0 / 4</v>
      </c>
      <c r="L8" s="42"/>
    </row>
    <row r="9" customFormat="false" ht="30" hidden="false" customHeight="true" outlineLevel="0" collapsed="false">
      <c r="B9" s="17" t="s">
        <v>32</v>
      </c>
      <c r="C9" s="33"/>
      <c r="D9" s="34"/>
      <c r="E9" s="34"/>
      <c r="F9" s="34"/>
      <c r="G9" s="34"/>
      <c r="H9" s="34"/>
      <c r="I9" s="34"/>
      <c r="J9" s="54"/>
      <c r="K9" s="18" t="str">
        <f aca="false">COUNT('Día A'!D64,'Día B'!D64,'Día C'!D64,'Día D'!D64)&amp;" / "&amp;IF(Resumen!$C$10="",4,Resumen!$C$10)</f>
        <v>0 / 4</v>
      </c>
      <c r="L9" s="42"/>
    </row>
    <row r="10" customFormat="false" ht="15" hidden="false" customHeight="true" outlineLevel="0" collapsed="false">
      <c r="B10" s="55" t="s">
        <v>114</v>
      </c>
      <c r="C10" s="55"/>
      <c r="D10" s="56" t="str">
        <f aca="false">IF(COUNT(D6:D9)=0,"",AVERAGE(D6:D9))</f>
        <v/>
      </c>
      <c r="E10" s="57" t="str">
        <f aca="false">IF(COUNT(E6:E9)=0,"",AVERAGE(E6:E9))</f>
        <v/>
      </c>
      <c r="F10" s="56" t="str">
        <f aca="false">IF(COUNT(F6:F9)=0,"",AVERAGE(F6:F9))</f>
        <v/>
      </c>
      <c r="G10" s="56" t="str">
        <f aca="false">IF(COUNT(G6:G9)=0,"",AVERAGE(G6:G9))</f>
        <v/>
      </c>
      <c r="H10" s="56" t="str">
        <f aca="false">IF(COUNT(H6:H9)=0,"",AVERAGE(H6:H9))</f>
        <v/>
      </c>
      <c r="I10" s="56" t="str">
        <f aca="false">IF(COUNT(I6:I9)=0,"",AVERAGE(I6:I9))</f>
        <v/>
      </c>
      <c r="J10" s="58" t="str">
        <f aca="false">IF(COUNT(J6:J9)=0,"",AVERAGE(J6:J9))</f>
        <v/>
      </c>
      <c r="K10" s="55"/>
      <c r="L10" s="55"/>
    </row>
    <row r="12" customFormat="false" ht="15" hidden="false" customHeight="true" outlineLevel="0" collapsed="false">
      <c r="B12" s="59" t="s">
        <v>115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</row>
    <row r="13" customFormat="false" ht="15" hidden="false" customHeight="true" outlineLevel="0" collapsed="false"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</row>
  </sheetData>
  <mergeCells count="3">
    <mergeCell ref="B2:L2"/>
    <mergeCell ref="B3:L3"/>
    <mergeCell ref="B12:L13"/>
  </mergeCells>
  <dataValidations count="2">
    <dataValidation allowBlank="true" errorStyle="stop" operator="between" showDropDown="false" showErrorMessage="false" showInputMessage="false" sqref="F6:H9" type="whole">
      <formula1>1</formula1>
      <formula2>10</formula2>
    </dataValidation>
    <dataValidation allowBlank="true" error="Escribe un porcentaje entre 0 % y 100 %" errorStyle="stop" operator="between" showDropDown="false" showErrorMessage="false" showInputMessage="false" sqref="J6:J9" type="decimal">
      <formula1>0</formula1>
      <formula2>1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Tactical Biscuit Training  ·  Página &amp;P de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0"/>
    <col collapsed="false" customWidth="true" hidden="false" outlineLevel="0" max="3" min="3" style="1" width="36"/>
    <col collapsed="false" customWidth="true" hidden="false" outlineLevel="0" max="4" min="4" style="1" width="20"/>
    <col collapsed="false" customWidth="true" hidden="false" outlineLevel="0" max="5" min="5" style="1" width="30"/>
    <col collapsed="false" customWidth="true" hidden="false" outlineLevel="0" max="6" min="6" style="1" width="14"/>
    <col collapsed="false" customWidth="true" hidden="false" outlineLevel="0" max="7" min="7" style="1" width="15"/>
  </cols>
  <sheetData>
    <row r="2" customFormat="false" ht="36" hidden="false" customHeight="true" outlineLevel="0" collapsed="false">
      <c r="B2" s="2" t="s">
        <v>116</v>
      </c>
      <c r="C2" s="2"/>
      <c r="D2" s="2"/>
      <c r="E2" s="2"/>
      <c r="F2" s="2"/>
      <c r="G2" s="2"/>
    </row>
    <row r="3" customFormat="false" ht="19.5" hidden="false" customHeight="true" outlineLevel="0" collapsed="false">
      <c r="B3" s="3" t="s">
        <v>117</v>
      </c>
      <c r="C3" s="3"/>
      <c r="D3" s="3"/>
      <c r="E3" s="3"/>
      <c r="F3" s="3"/>
      <c r="G3" s="3"/>
    </row>
    <row r="4" customFormat="false" ht="25.5" hidden="false" customHeight="true" outlineLevel="0" collapsed="false">
      <c r="B4" s="60" t="s">
        <v>118</v>
      </c>
      <c r="C4" s="61"/>
      <c r="D4" s="61"/>
      <c r="E4" s="62" t="s">
        <v>119</v>
      </c>
      <c r="F4" s="62"/>
      <c r="G4" s="62"/>
    </row>
    <row r="5" customFormat="false" ht="30" hidden="false" customHeight="true" outlineLevel="0" collapsed="false">
      <c r="B5" s="37" t="s">
        <v>69</v>
      </c>
      <c r="C5" s="37" t="s">
        <v>68</v>
      </c>
      <c r="D5" s="37" t="s">
        <v>120</v>
      </c>
      <c r="E5" s="37" t="s">
        <v>121</v>
      </c>
      <c r="F5" s="37" t="s">
        <v>73</v>
      </c>
      <c r="G5" s="37" t="s">
        <v>67</v>
      </c>
    </row>
    <row r="6" customFormat="false" ht="43.5" hidden="false" customHeight="true" outlineLevel="0" collapsed="false">
      <c r="B6" s="44" t="s">
        <v>122</v>
      </c>
      <c r="C6" s="63" t="s">
        <v>123</v>
      </c>
      <c r="D6" s="44" t="s">
        <v>124</v>
      </c>
      <c r="E6" s="64"/>
      <c r="F6" s="30" t="str">
        <f aca="false">IF(C6="","",IF(E6&lt;&gt;"",HYPERLINK(E6,"▶ Mi vídeo"),HYPERLINK("https://www.youtube.com/results?search_query="&amp;SUBSTITUTE(TRIM(C6)," ","+")&amp;"+técnica","▶ Ver vídeo")))</f>
        <v>▶ Ver vídeo</v>
      </c>
      <c r="G6" s="13"/>
    </row>
    <row r="7" customFormat="false" ht="43.5" hidden="false" customHeight="true" outlineLevel="0" collapsed="false">
      <c r="B7" s="39" t="s">
        <v>122</v>
      </c>
      <c r="C7" s="65" t="s">
        <v>125</v>
      </c>
      <c r="D7" s="39" t="s">
        <v>126</v>
      </c>
      <c r="E7" s="66"/>
      <c r="F7" s="67" t="str">
        <f aca="false">IF(C7="","",IF(E7&lt;&gt;"",HYPERLINK(E7,"▶ Mi vídeo"),HYPERLINK("https://www.youtube.com/results?search_query="&amp;SUBSTITUTE(TRIM(C7)," ","+")&amp;"+técnica","▶ Ver vídeo")))</f>
        <v>▶ Ver vídeo</v>
      </c>
      <c r="G7" s="18"/>
    </row>
    <row r="8" customFormat="false" ht="43.5" hidden="false" customHeight="true" outlineLevel="0" collapsed="false">
      <c r="B8" s="44" t="s">
        <v>122</v>
      </c>
      <c r="C8" s="63" t="s">
        <v>127</v>
      </c>
      <c r="D8" s="44" t="s">
        <v>126</v>
      </c>
      <c r="E8" s="64"/>
      <c r="F8" s="30" t="str">
        <f aca="false">IF(C8="","",IF(E8&lt;&gt;"",HYPERLINK(E8,"▶ Mi vídeo"),HYPERLINK("https://www.youtube.com/results?search_query="&amp;SUBSTITUTE(TRIM(C8)," ","+")&amp;"+técnica","▶ Ver vídeo")))</f>
        <v>▶ Ver vídeo</v>
      </c>
      <c r="G8" s="13"/>
    </row>
    <row r="9" customFormat="false" ht="43.5" hidden="false" customHeight="true" outlineLevel="0" collapsed="false">
      <c r="B9" s="39" t="s">
        <v>122</v>
      </c>
      <c r="C9" s="65" t="s">
        <v>128</v>
      </c>
      <c r="D9" s="39" t="s">
        <v>129</v>
      </c>
      <c r="E9" s="66"/>
      <c r="F9" s="67" t="str">
        <f aca="false">IF(C9="","",IF(E9&lt;&gt;"",HYPERLINK(E9,"▶ Mi vídeo"),HYPERLINK("https://www.youtube.com/results?search_query="&amp;SUBSTITUTE(TRIM(C9)," ","+")&amp;"+técnica","▶ Ver vídeo")))</f>
        <v>▶ Ver vídeo</v>
      </c>
      <c r="G9" s="18"/>
    </row>
    <row r="10" customFormat="false" ht="43.5" hidden="false" customHeight="true" outlineLevel="0" collapsed="false">
      <c r="B10" s="44" t="s">
        <v>122</v>
      </c>
      <c r="C10" s="63" t="s">
        <v>130</v>
      </c>
      <c r="D10" s="44" t="s">
        <v>131</v>
      </c>
      <c r="E10" s="64"/>
      <c r="F10" s="30" t="str">
        <f aca="false">IF(C10="","",IF(E10&lt;&gt;"",HYPERLINK(E10,"▶ Mi vídeo"),HYPERLINK("https://www.youtube.com/results?search_query="&amp;SUBSTITUTE(TRIM(C10)," ","+")&amp;"+técnica","▶ Ver vídeo")))</f>
        <v>▶ Ver vídeo</v>
      </c>
      <c r="G10" s="13"/>
    </row>
    <row r="11" customFormat="false" ht="43.5" hidden="false" customHeight="true" outlineLevel="0" collapsed="false">
      <c r="B11" s="39" t="s">
        <v>122</v>
      </c>
      <c r="C11" s="65" t="s">
        <v>132</v>
      </c>
      <c r="D11" s="39" t="s">
        <v>133</v>
      </c>
      <c r="E11" s="66"/>
      <c r="F11" s="67" t="str">
        <f aca="false">IF(C11="","",IF(E11&lt;&gt;"",HYPERLINK(E11,"▶ Mi vídeo"),HYPERLINK("https://www.youtube.com/results?search_query="&amp;SUBSTITUTE(TRIM(C11)," ","+")&amp;"+técnica","▶ Ver vídeo")))</f>
        <v>▶ Ver vídeo</v>
      </c>
      <c r="G11" s="18"/>
    </row>
    <row r="12" customFormat="false" ht="43.5" hidden="false" customHeight="true" outlineLevel="0" collapsed="false">
      <c r="B12" s="44" t="s">
        <v>122</v>
      </c>
      <c r="C12" s="63" t="s">
        <v>134</v>
      </c>
      <c r="D12" s="44" t="s">
        <v>133</v>
      </c>
      <c r="E12" s="64"/>
      <c r="F12" s="30" t="str">
        <f aca="false">IF(C12="","",IF(E12&lt;&gt;"",HYPERLINK(E12,"▶ Mi vídeo"),HYPERLINK("https://www.youtube.com/results?search_query="&amp;SUBSTITUTE(TRIM(C12)," ","+")&amp;"+técnica","▶ Ver vídeo")))</f>
        <v>▶ Ver vídeo</v>
      </c>
      <c r="G12" s="13"/>
    </row>
    <row r="13" customFormat="false" ht="43.5" hidden="false" customHeight="true" outlineLevel="0" collapsed="false">
      <c r="B13" s="39" t="s">
        <v>135</v>
      </c>
      <c r="C13" s="65" t="s">
        <v>136</v>
      </c>
      <c r="D13" s="39" t="s">
        <v>137</v>
      </c>
      <c r="E13" s="66"/>
      <c r="F13" s="67" t="str">
        <f aca="false">IF(C13="","",IF(E13&lt;&gt;"",HYPERLINK(E13,"▶ Mi vídeo"),HYPERLINK("https://www.youtube.com/results?search_query="&amp;SUBSTITUTE(TRIM(C13)," ","+")&amp;"+técnica","▶ Ver vídeo")))</f>
        <v>▶ Ver vídeo</v>
      </c>
      <c r="G13" s="18"/>
    </row>
    <row r="14" customFormat="false" ht="43.5" hidden="false" customHeight="true" outlineLevel="0" collapsed="false">
      <c r="B14" s="44" t="s">
        <v>135</v>
      </c>
      <c r="C14" s="63" t="s">
        <v>138</v>
      </c>
      <c r="D14" s="44" t="s">
        <v>129</v>
      </c>
      <c r="E14" s="64"/>
      <c r="F14" s="30" t="str">
        <f aca="false">IF(C14="","",IF(E14&lt;&gt;"",HYPERLINK(E14,"▶ Mi vídeo"),HYPERLINK("https://www.youtube.com/results?search_query="&amp;SUBSTITUTE(TRIM(C14)," ","+")&amp;"+técnica","▶ Ver vídeo")))</f>
        <v>▶ Ver vídeo</v>
      </c>
      <c r="G14" s="13"/>
    </row>
    <row r="15" customFormat="false" ht="43.5" hidden="false" customHeight="true" outlineLevel="0" collapsed="false">
      <c r="B15" s="39" t="s">
        <v>135</v>
      </c>
      <c r="C15" s="65" t="s">
        <v>139</v>
      </c>
      <c r="D15" s="39" t="s">
        <v>124</v>
      </c>
      <c r="E15" s="66"/>
      <c r="F15" s="67" t="str">
        <f aca="false">IF(C15="","",IF(E15&lt;&gt;"",HYPERLINK(E15,"▶ Mi vídeo"),HYPERLINK("https://www.youtube.com/results?search_query="&amp;SUBSTITUTE(TRIM(C15)," ","+")&amp;"+técnica","▶ Ver vídeo")))</f>
        <v>▶ Ver vídeo</v>
      </c>
      <c r="G15" s="18"/>
    </row>
    <row r="16" customFormat="false" ht="43.5" hidden="false" customHeight="true" outlineLevel="0" collapsed="false">
      <c r="B16" s="44" t="s">
        <v>135</v>
      </c>
      <c r="C16" s="63" t="s">
        <v>140</v>
      </c>
      <c r="D16" s="44" t="s">
        <v>126</v>
      </c>
      <c r="E16" s="64"/>
      <c r="F16" s="30" t="str">
        <f aca="false">IF(C16="","",IF(E16&lt;&gt;"",HYPERLINK(E16,"▶ Mi vídeo"),HYPERLINK("https://www.youtube.com/results?search_query="&amp;SUBSTITUTE(TRIM(C16)," ","+")&amp;"+técnica","▶ Ver vídeo")))</f>
        <v>▶ Ver vídeo</v>
      </c>
      <c r="G16" s="13"/>
    </row>
    <row r="17" customFormat="false" ht="43.5" hidden="false" customHeight="true" outlineLevel="0" collapsed="false">
      <c r="B17" s="39" t="s">
        <v>135</v>
      </c>
      <c r="C17" s="65" t="s">
        <v>141</v>
      </c>
      <c r="D17" s="39" t="s">
        <v>129</v>
      </c>
      <c r="E17" s="66"/>
      <c r="F17" s="67" t="str">
        <f aca="false">IF(C17="","",IF(E17&lt;&gt;"",HYPERLINK(E17,"▶ Mi vídeo"),HYPERLINK("https://www.youtube.com/results?search_query="&amp;SUBSTITUTE(TRIM(C17)," ","+")&amp;"+técnica","▶ Ver vídeo")))</f>
        <v>▶ Ver vídeo</v>
      </c>
      <c r="G17" s="18"/>
    </row>
    <row r="18" customFormat="false" ht="43.5" hidden="false" customHeight="true" outlineLevel="0" collapsed="false">
      <c r="B18" s="44" t="s">
        <v>135</v>
      </c>
      <c r="C18" s="63" t="s">
        <v>142</v>
      </c>
      <c r="D18" s="44" t="s">
        <v>131</v>
      </c>
      <c r="E18" s="64"/>
      <c r="F18" s="30" t="str">
        <f aca="false">IF(C18="","",IF(E18&lt;&gt;"",HYPERLINK(E18,"▶ Mi vídeo"),HYPERLINK("https://www.youtube.com/results?search_query="&amp;SUBSTITUTE(TRIM(C18)," ","+")&amp;"+técnica","▶ Ver vídeo")))</f>
        <v>▶ Ver vídeo</v>
      </c>
      <c r="G18" s="13"/>
    </row>
    <row r="19" customFormat="false" ht="43.5" hidden="false" customHeight="true" outlineLevel="0" collapsed="false">
      <c r="B19" s="39" t="s">
        <v>135</v>
      </c>
      <c r="C19" s="65" t="s">
        <v>143</v>
      </c>
      <c r="D19" s="39" t="s">
        <v>129</v>
      </c>
      <c r="E19" s="66"/>
      <c r="F19" s="67" t="str">
        <f aca="false">IF(C19="","",IF(E19&lt;&gt;"",HYPERLINK(E19,"▶ Mi vídeo"),HYPERLINK("https://www.youtube.com/results?search_query="&amp;SUBSTITUTE(TRIM(C19)," ","+")&amp;"+técnica","▶ Ver vídeo")))</f>
        <v>▶ Ver vídeo</v>
      </c>
      <c r="G19" s="18"/>
    </row>
    <row r="20" customFormat="false" ht="43.5" hidden="false" customHeight="true" outlineLevel="0" collapsed="false">
      <c r="B20" s="44" t="s">
        <v>135</v>
      </c>
      <c r="C20" s="63" t="s">
        <v>144</v>
      </c>
      <c r="D20" s="44" t="s">
        <v>124</v>
      </c>
      <c r="E20" s="64"/>
      <c r="F20" s="30" t="str">
        <f aca="false">IF(C20="","",IF(E20&lt;&gt;"",HYPERLINK(E20,"▶ Mi vídeo"),HYPERLINK("https://www.youtube.com/results?search_query="&amp;SUBSTITUTE(TRIM(C20)," ","+")&amp;"+técnica","▶ Ver vídeo")))</f>
        <v>▶ Ver vídeo</v>
      </c>
      <c r="G20" s="13"/>
    </row>
    <row r="21" customFormat="false" ht="43.5" hidden="false" customHeight="true" outlineLevel="0" collapsed="false">
      <c r="B21" s="39" t="s">
        <v>145</v>
      </c>
      <c r="C21" s="65" t="s">
        <v>146</v>
      </c>
      <c r="D21" s="39" t="s">
        <v>124</v>
      </c>
      <c r="E21" s="66"/>
      <c r="F21" s="67" t="str">
        <f aca="false">IF(C21="","",IF(E21&lt;&gt;"",HYPERLINK(E21,"▶ Mi vídeo"),HYPERLINK("https://www.youtube.com/results?search_query="&amp;SUBSTITUTE(TRIM(C21)," ","+")&amp;"+técnica","▶ Ver vídeo")))</f>
        <v>▶ Ver vídeo</v>
      </c>
      <c r="G21" s="18"/>
    </row>
    <row r="22" customFormat="false" ht="43.5" hidden="false" customHeight="true" outlineLevel="0" collapsed="false">
      <c r="B22" s="44" t="s">
        <v>145</v>
      </c>
      <c r="C22" s="63" t="s">
        <v>147</v>
      </c>
      <c r="D22" s="44" t="s">
        <v>126</v>
      </c>
      <c r="E22" s="64"/>
      <c r="F22" s="30" t="str">
        <f aca="false">IF(C22="","",IF(E22&lt;&gt;"",HYPERLINK(E22,"▶ Mi vídeo"),HYPERLINK("https://www.youtube.com/results?search_query="&amp;SUBSTITUTE(TRIM(C22)," ","+")&amp;"+técnica","▶ Ver vídeo")))</f>
        <v>▶ Ver vídeo</v>
      </c>
      <c r="G22" s="13"/>
    </row>
    <row r="23" customFormat="false" ht="43.5" hidden="false" customHeight="true" outlineLevel="0" collapsed="false">
      <c r="B23" s="39" t="s">
        <v>145</v>
      </c>
      <c r="C23" s="65" t="s">
        <v>148</v>
      </c>
      <c r="D23" s="39" t="s">
        <v>126</v>
      </c>
      <c r="E23" s="66"/>
      <c r="F23" s="67" t="str">
        <f aca="false">IF(C23="","",IF(E23&lt;&gt;"",HYPERLINK(E23,"▶ Mi vídeo"),HYPERLINK("https://www.youtube.com/results?search_query="&amp;SUBSTITUTE(TRIM(C23)," ","+")&amp;"+técnica","▶ Ver vídeo")))</f>
        <v>▶ Ver vídeo</v>
      </c>
      <c r="G23" s="18"/>
    </row>
    <row r="24" customFormat="false" ht="43.5" hidden="false" customHeight="true" outlineLevel="0" collapsed="false">
      <c r="B24" s="44" t="s">
        <v>145</v>
      </c>
      <c r="C24" s="63" t="s">
        <v>149</v>
      </c>
      <c r="D24" s="44" t="s">
        <v>129</v>
      </c>
      <c r="E24" s="64"/>
      <c r="F24" s="30" t="str">
        <f aca="false">IF(C24="","",IF(E24&lt;&gt;"",HYPERLINK(E24,"▶ Mi vídeo"),HYPERLINK("https://www.youtube.com/results?search_query="&amp;SUBSTITUTE(TRIM(C24)," ","+")&amp;"+técnica","▶ Ver vídeo")))</f>
        <v>▶ Ver vídeo</v>
      </c>
      <c r="G24" s="13"/>
    </row>
    <row r="25" customFormat="false" ht="43.5" hidden="false" customHeight="true" outlineLevel="0" collapsed="false">
      <c r="B25" s="39" t="s">
        <v>145</v>
      </c>
      <c r="C25" s="65" t="s">
        <v>150</v>
      </c>
      <c r="D25" s="39" t="s">
        <v>131</v>
      </c>
      <c r="E25" s="66"/>
      <c r="F25" s="67" t="str">
        <f aca="false">IF(C25="","",IF(E25&lt;&gt;"",HYPERLINK(E25,"▶ Mi vídeo"),HYPERLINK("https://www.youtube.com/results?search_query="&amp;SUBSTITUTE(TRIM(C25)," ","+")&amp;"+técnica","▶ Ver vídeo")))</f>
        <v>▶ Ver vídeo</v>
      </c>
      <c r="G25" s="18"/>
    </row>
    <row r="26" customFormat="false" ht="43.5" hidden="false" customHeight="true" outlineLevel="0" collapsed="false">
      <c r="B26" s="44" t="s">
        <v>145</v>
      </c>
      <c r="C26" s="63" t="s">
        <v>151</v>
      </c>
      <c r="D26" s="44" t="s">
        <v>129</v>
      </c>
      <c r="E26" s="64"/>
      <c r="F26" s="30" t="str">
        <f aca="false">IF(C26="","",IF(E26&lt;&gt;"",HYPERLINK(E26,"▶ Mi vídeo"),HYPERLINK("https://www.youtube.com/results?search_query="&amp;SUBSTITUTE(TRIM(C26)," ","+")&amp;"+técnica","▶ Ver vídeo")))</f>
        <v>▶ Ver vídeo</v>
      </c>
      <c r="G26" s="13"/>
    </row>
    <row r="27" customFormat="false" ht="43.5" hidden="false" customHeight="true" outlineLevel="0" collapsed="false">
      <c r="B27" s="39" t="s">
        <v>152</v>
      </c>
      <c r="C27" s="65" t="s">
        <v>153</v>
      </c>
      <c r="D27" s="39" t="s">
        <v>124</v>
      </c>
      <c r="E27" s="66"/>
      <c r="F27" s="67" t="str">
        <f aca="false">IF(C27="","",IF(E27&lt;&gt;"",HYPERLINK(E27,"▶ Mi vídeo"),HYPERLINK("https://www.youtube.com/results?search_query="&amp;SUBSTITUTE(TRIM(C27)," ","+")&amp;"+técnica","▶ Ver vídeo")))</f>
        <v>▶ Ver vídeo</v>
      </c>
      <c r="G27" s="18"/>
    </row>
    <row r="28" customFormat="false" ht="43.5" hidden="false" customHeight="true" outlineLevel="0" collapsed="false">
      <c r="B28" s="44" t="s">
        <v>152</v>
      </c>
      <c r="C28" s="63" t="s">
        <v>154</v>
      </c>
      <c r="D28" s="44" t="s">
        <v>126</v>
      </c>
      <c r="E28" s="64"/>
      <c r="F28" s="30" t="str">
        <f aca="false">IF(C28="","",IF(E28&lt;&gt;"",HYPERLINK(E28,"▶ Mi vídeo"),HYPERLINK("https://www.youtube.com/results?search_query="&amp;SUBSTITUTE(TRIM(C28)," ","+")&amp;"+técnica","▶ Ver vídeo")))</f>
        <v>▶ Ver vídeo</v>
      </c>
      <c r="G28" s="13"/>
    </row>
    <row r="29" customFormat="false" ht="43.5" hidden="false" customHeight="true" outlineLevel="0" collapsed="false">
      <c r="B29" s="39" t="s">
        <v>152</v>
      </c>
      <c r="C29" s="65" t="s">
        <v>155</v>
      </c>
      <c r="D29" s="39" t="s">
        <v>126</v>
      </c>
      <c r="E29" s="66"/>
      <c r="F29" s="67" t="str">
        <f aca="false">IF(C29="","",IF(E29&lt;&gt;"",HYPERLINK(E29,"▶ Mi vídeo"),HYPERLINK("https://www.youtube.com/results?search_query="&amp;SUBSTITUTE(TRIM(C29)," ","+")&amp;"+técnica","▶ Ver vídeo")))</f>
        <v>▶ Ver vídeo</v>
      </c>
      <c r="G29" s="18"/>
    </row>
    <row r="30" customFormat="false" ht="43.5" hidden="false" customHeight="true" outlineLevel="0" collapsed="false">
      <c r="B30" s="44" t="s">
        <v>152</v>
      </c>
      <c r="C30" s="63" t="s">
        <v>156</v>
      </c>
      <c r="D30" s="44" t="s">
        <v>131</v>
      </c>
      <c r="E30" s="64"/>
      <c r="F30" s="30" t="str">
        <f aca="false">IF(C30="","",IF(E30&lt;&gt;"",HYPERLINK(E30,"▶ Mi vídeo"),HYPERLINK("https://www.youtube.com/results?search_query="&amp;SUBSTITUTE(TRIM(C30)," ","+")&amp;"+técnica","▶ Ver vídeo")))</f>
        <v>▶ Ver vídeo</v>
      </c>
      <c r="G30" s="13"/>
    </row>
    <row r="31" customFormat="false" ht="43.5" hidden="false" customHeight="true" outlineLevel="0" collapsed="false">
      <c r="B31" s="39" t="s">
        <v>152</v>
      </c>
      <c r="C31" s="65" t="s">
        <v>157</v>
      </c>
      <c r="D31" s="39" t="s">
        <v>129</v>
      </c>
      <c r="E31" s="66"/>
      <c r="F31" s="67" t="str">
        <f aca="false">IF(C31="","",IF(E31&lt;&gt;"",HYPERLINK(E31,"▶ Mi vídeo"),HYPERLINK("https://www.youtube.com/results?search_query="&amp;SUBSTITUTE(TRIM(C31)," ","+")&amp;"+técnica","▶ Ver vídeo")))</f>
        <v>▶ Ver vídeo</v>
      </c>
      <c r="G31" s="18"/>
    </row>
    <row r="32" customFormat="false" ht="43.5" hidden="false" customHeight="true" outlineLevel="0" collapsed="false">
      <c r="B32" s="44" t="s">
        <v>158</v>
      </c>
      <c r="C32" s="63" t="s">
        <v>159</v>
      </c>
      <c r="D32" s="44" t="s">
        <v>129</v>
      </c>
      <c r="E32" s="64"/>
      <c r="F32" s="30" t="str">
        <f aca="false">IF(C32="","",IF(E32&lt;&gt;"",HYPERLINK(E32,"▶ Mi vídeo"),HYPERLINK("https://www.youtube.com/results?search_query="&amp;SUBSTITUTE(TRIM(C32)," ","+")&amp;"+técnica","▶ Ver vídeo")))</f>
        <v>▶ Ver vídeo</v>
      </c>
      <c r="G32" s="13"/>
    </row>
    <row r="33" customFormat="false" ht="43.5" hidden="false" customHeight="true" outlineLevel="0" collapsed="false">
      <c r="B33" s="39" t="s">
        <v>158</v>
      </c>
      <c r="C33" s="65" t="s">
        <v>160</v>
      </c>
      <c r="D33" s="39" t="s">
        <v>161</v>
      </c>
      <c r="E33" s="66"/>
      <c r="F33" s="67" t="str">
        <f aca="false">IF(C33="","",IF(E33&lt;&gt;"",HYPERLINK(E33,"▶ Mi vídeo"),HYPERLINK("https://www.youtube.com/results?search_query="&amp;SUBSTITUTE(TRIM(C33)," ","+")&amp;"+técnica","▶ Ver vídeo")))</f>
        <v>▶ Ver vídeo</v>
      </c>
      <c r="G33" s="18"/>
    </row>
    <row r="34" customFormat="false" ht="43.5" hidden="false" customHeight="true" outlineLevel="0" collapsed="false">
      <c r="B34" s="44" t="s">
        <v>158</v>
      </c>
      <c r="C34" s="63" t="s">
        <v>162</v>
      </c>
      <c r="D34" s="44" t="s">
        <v>163</v>
      </c>
      <c r="E34" s="64"/>
      <c r="F34" s="30" t="str">
        <f aca="false">IF(C34="","",IF(E34&lt;&gt;"",HYPERLINK(E34,"▶ Mi vídeo"),HYPERLINK("https://www.youtube.com/results?search_query="&amp;SUBSTITUTE(TRIM(C34)," ","+")&amp;"+técnica","▶ Ver vídeo")))</f>
        <v>▶ Ver vídeo</v>
      </c>
      <c r="G34" s="13"/>
    </row>
    <row r="35" customFormat="false" ht="43.5" hidden="false" customHeight="true" outlineLevel="0" collapsed="false">
      <c r="B35" s="39" t="s">
        <v>158</v>
      </c>
      <c r="C35" s="65" t="s">
        <v>164</v>
      </c>
      <c r="D35" s="39" t="s">
        <v>124</v>
      </c>
      <c r="E35" s="66"/>
      <c r="F35" s="67" t="str">
        <f aca="false">IF(C35="","",IF(E35&lt;&gt;"",HYPERLINK(E35,"▶ Mi vídeo"),HYPERLINK("https://www.youtube.com/results?search_query="&amp;SUBSTITUTE(TRIM(C35)," ","+")&amp;"+técnica","▶ Ver vídeo")))</f>
        <v>▶ Ver vídeo</v>
      </c>
      <c r="G35" s="18"/>
    </row>
    <row r="36" customFormat="false" ht="43.5" hidden="false" customHeight="true" outlineLevel="0" collapsed="false">
      <c r="B36" s="44" t="s">
        <v>158</v>
      </c>
      <c r="C36" s="63" t="s">
        <v>165</v>
      </c>
      <c r="D36" s="44" t="s">
        <v>133</v>
      </c>
      <c r="E36" s="64"/>
      <c r="F36" s="30" t="str">
        <f aca="false">IF(C36="","",IF(E36&lt;&gt;"",HYPERLINK(E36,"▶ Mi vídeo"),HYPERLINK("https://www.youtube.com/results?search_query="&amp;SUBSTITUTE(TRIM(C36)," ","+")&amp;"+técnica","▶ Ver vídeo")))</f>
        <v>▶ Ver vídeo</v>
      </c>
      <c r="G36" s="13"/>
    </row>
    <row r="37" customFormat="false" ht="43.5" hidden="false" customHeight="true" outlineLevel="0" collapsed="false">
      <c r="B37" s="39" t="s">
        <v>166</v>
      </c>
      <c r="C37" s="65" t="s">
        <v>167</v>
      </c>
      <c r="D37" s="39" t="s">
        <v>124</v>
      </c>
      <c r="E37" s="66"/>
      <c r="F37" s="67" t="str">
        <f aca="false">IF(C37="","",IF(E37&lt;&gt;"",HYPERLINK(E37,"▶ Mi vídeo"),HYPERLINK("https://www.youtube.com/results?search_query="&amp;SUBSTITUTE(TRIM(C37)," ","+")&amp;"+técnica","▶ Ver vídeo")))</f>
        <v>▶ Ver vídeo</v>
      </c>
      <c r="G37" s="18"/>
    </row>
    <row r="38" customFormat="false" ht="43.5" hidden="false" customHeight="true" outlineLevel="0" collapsed="false">
      <c r="B38" s="44" t="s">
        <v>166</v>
      </c>
      <c r="C38" s="63" t="s">
        <v>168</v>
      </c>
      <c r="D38" s="44" t="s">
        <v>169</v>
      </c>
      <c r="E38" s="64"/>
      <c r="F38" s="30" t="str">
        <f aca="false">IF(C38="","",IF(E38&lt;&gt;"",HYPERLINK(E38,"▶ Mi vídeo"),HYPERLINK("https://www.youtube.com/results?search_query="&amp;SUBSTITUTE(TRIM(C38)," ","+")&amp;"+técnica","▶ Ver vídeo")))</f>
        <v>▶ Ver vídeo</v>
      </c>
      <c r="G38" s="13"/>
    </row>
    <row r="39" customFormat="false" ht="43.5" hidden="false" customHeight="true" outlineLevel="0" collapsed="false">
      <c r="B39" s="39" t="s">
        <v>166</v>
      </c>
      <c r="C39" s="65" t="s">
        <v>170</v>
      </c>
      <c r="D39" s="39" t="s">
        <v>131</v>
      </c>
      <c r="E39" s="66"/>
      <c r="F39" s="67" t="str">
        <f aca="false">IF(C39="","",IF(E39&lt;&gt;"",HYPERLINK(E39,"▶ Mi vídeo"),HYPERLINK("https://www.youtube.com/results?search_query="&amp;SUBSTITUTE(TRIM(C39)," ","+")&amp;"+técnica","▶ Ver vídeo")))</f>
        <v>▶ Ver vídeo</v>
      </c>
      <c r="G39" s="18"/>
    </row>
    <row r="40" customFormat="false" ht="43.5" hidden="false" customHeight="true" outlineLevel="0" collapsed="false">
      <c r="B40" s="44" t="s">
        <v>166</v>
      </c>
      <c r="C40" s="63" t="s">
        <v>171</v>
      </c>
      <c r="D40" s="44" t="s">
        <v>126</v>
      </c>
      <c r="E40" s="64"/>
      <c r="F40" s="30" t="str">
        <f aca="false">IF(C40="","",IF(E40&lt;&gt;"",HYPERLINK(E40,"▶ Mi vídeo"),HYPERLINK("https://www.youtube.com/results?search_query="&amp;SUBSTITUTE(TRIM(C40)," ","+")&amp;"+técnica","▶ Ver vídeo")))</f>
        <v>▶ Ver vídeo</v>
      </c>
      <c r="G40" s="13"/>
    </row>
    <row r="41" customFormat="false" ht="43.5" hidden="false" customHeight="true" outlineLevel="0" collapsed="false">
      <c r="B41" s="39" t="s">
        <v>166</v>
      </c>
      <c r="C41" s="65" t="s">
        <v>172</v>
      </c>
      <c r="D41" s="39" t="s">
        <v>126</v>
      </c>
      <c r="E41" s="66"/>
      <c r="F41" s="67" t="str">
        <f aca="false">IF(C41="","",IF(E41&lt;&gt;"",HYPERLINK(E41,"▶ Mi vídeo"),HYPERLINK("https://www.youtube.com/results?search_query="&amp;SUBSTITUTE(TRIM(C41)," ","+")&amp;"+técnica","▶ Ver vídeo")))</f>
        <v>▶ Ver vídeo</v>
      </c>
      <c r="G41" s="18"/>
    </row>
    <row r="42" customFormat="false" ht="43.5" hidden="false" customHeight="true" outlineLevel="0" collapsed="false">
      <c r="B42" s="44" t="s">
        <v>166</v>
      </c>
      <c r="C42" s="63" t="s">
        <v>173</v>
      </c>
      <c r="D42" s="44" t="s">
        <v>131</v>
      </c>
      <c r="E42" s="64"/>
      <c r="F42" s="30" t="str">
        <f aca="false">IF(C42="","",IF(E42&lt;&gt;"",HYPERLINK(E42,"▶ Mi vídeo"),HYPERLINK("https://www.youtube.com/results?search_query="&amp;SUBSTITUTE(TRIM(C42)," ","+")&amp;"+técnica","▶ Ver vídeo")))</f>
        <v>▶ Ver vídeo</v>
      </c>
      <c r="G42" s="13"/>
    </row>
    <row r="43" customFormat="false" ht="43.5" hidden="false" customHeight="true" outlineLevel="0" collapsed="false">
      <c r="B43" s="39" t="s">
        <v>166</v>
      </c>
      <c r="C43" s="65" t="s">
        <v>174</v>
      </c>
      <c r="D43" s="39" t="s">
        <v>131</v>
      </c>
      <c r="E43" s="66"/>
      <c r="F43" s="67" t="str">
        <f aca="false">IF(C43="","",IF(E43&lt;&gt;"",HYPERLINK(E43,"▶ Mi vídeo"),HYPERLINK("https://www.youtube.com/results?search_query="&amp;SUBSTITUTE(TRIM(C43)," ","+")&amp;"+técnica","▶ Ver vídeo")))</f>
        <v>▶ Ver vídeo</v>
      </c>
      <c r="G43" s="18"/>
    </row>
    <row r="44" customFormat="false" ht="43.5" hidden="false" customHeight="true" outlineLevel="0" collapsed="false">
      <c r="B44" s="44" t="s">
        <v>166</v>
      </c>
      <c r="C44" s="63" t="s">
        <v>175</v>
      </c>
      <c r="D44" s="44" t="s">
        <v>126</v>
      </c>
      <c r="E44" s="64"/>
      <c r="F44" s="30" t="str">
        <f aca="false">IF(C44="","",IF(E44&lt;&gt;"",HYPERLINK(E44,"▶ Mi vídeo"),HYPERLINK("https://www.youtube.com/results?search_query="&amp;SUBSTITUTE(TRIM(C44)," ","+")&amp;"+técnica","▶ Ver vídeo")))</f>
        <v>▶ Ver vídeo</v>
      </c>
      <c r="G44" s="13"/>
    </row>
    <row r="45" customFormat="false" ht="43.5" hidden="false" customHeight="true" outlineLevel="0" collapsed="false">
      <c r="B45" s="39" t="s">
        <v>176</v>
      </c>
      <c r="C45" s="65" t="s">
        <v>177</v>
      </c>
      <c r="D45" s="39" t="s">
        <v>178</v>
      </c>
      <c r="E45" s="66"/>
      <c r="F45" s="67" t="str">
        <f aca="false">IF(C45="","",IF(E45&lt;&gt;"",HYPERLINK(E45,"▶ Mi vídeo"),HYPERLINK("https://www.youtube.com/results?search_query="&amp;SUBSTITUTE(TRIM(C45)," ","+")&amp;"+técnica","▶ Ver vídeo")))</f>
        <v>▶ Ver vídeo</v>
      </c>
      <c r="G45" s="18"/>
    </row>
    <row r="46" customFormat="false" ht="43.5" hidden="false" customHeight="true" outlineLevel="0" collapsed="false">
      <c r="B46" s="44" t="s">
        <v>176</v>
      </c>
      <c r="C46" s="63" t="s">
        <v>179</v>
      </c>
      <c r="D46" s="44" t="s">
        <v>131</v>
      </c>
      <c r="E46" s="64"/>
      <c r="F46" s="30" t="str">
        <f aca="false">IF(C46="","",IF(E46&lt;&gt;"",HYPERLINK(E46,"▶ Mi vídeo"),HYPERLINK("https://www.youtube.com/results?search_query="&amp;SUBSTITUTE(TRIM(C46)," ","+")&amp;"+técnica","▶ Ver vídeo")))</f>
        <v>▶ Ver vídeo</v>
      </c>
      <c r="G46" s="13"/>
    </row>
    <row r="47" customFormat="false" ht="43.5" hidden="false" customHeight="true" outlineLevel="0" collapsed="false">
      <c r="B47" s="39" t="s">
        <v>176</v>
      </c>
      <c r="C47" s="65" t="s">
        <v>180</v>
      </c>
      <c r="D47" s="39" t="s">
        <v>131</v>
      </c>
      <c r="E47" s="66"/>
      <c r="F47" s="67" t="str">
        <f aca="false">IF(C47="","",IF(E47&lt;&gt;"",HYPERLINK(E47,"▶ Mi vídeo"),HYPERLINK("https://www.youtube.com/results?search_query="&amp;SUBSTITUTE(TRIM(C47)," ","+")&amp;"+técnica","▶ Ver vídeo")))</f>
        <v>▶ Ver vídeo</v>
      </c>
      <c r="G47" s="18"/>
    </row>
    <row r="48" customFormat="false" ht="43.5" hidden="false" customHeight="true" outlineLevel="0" collapsed="false">
      <c r="B48" s="44" t="s">
        <v>176</v>
      </c>
      <c r="C48" s="63" t="s">
        <v>181</v>
      </c>
      <c r="D48" s="44" t="s">
        <v>124</v>
      </c>
      <c r="E48" s="64"/>
      <c r="F48" s="30" t="str">
        <f aca="false">IF(C48="","",IF(E48&lt;&gt;"",HYPERLINK(E48,"▶ Mi vídeo"),HYPERLINK("https://www.youtube.com/results?search_query="&amp;SUBSTITUTE(TRIM(C48)," ","+")&amp;"+técnica","▶ Ver vídeo")))</f>
        <v>▶ Ver vídeo</v>
      </c>
      <c r="G48" s="13"/>
    </row>
    <row r="49" customFormat="false" ht="43.5" hidden="false" customHeight="true" outlineLevel="0" collapsed="false">
      <c r="B49" s="39" t="s">
        <v>176</v>
      </c>
      <c r="C49" s="65" t="s">
        <v>182</v>
      </c>
      <c r="D49" s="39" t="s">
        <v>133</v>
      </c>
      <c r="E49" s="66"/>
      <c r="F49" s="67" t="str">
        <f aca="false">IF(C49="","",IF(E49&lt;&gt;"",HYPERLINK(E49,"▶ Mi vídeo"),HYPERLINK("https://www.youtube.com/results?search_query="&amp;SUBSTITUTE(TRIM(C49)," ","+")&amp;"+técnica","▶ Ver vídeo")))</f>
        <v>▶ Ver vídeo</v>
      </c>
      <c r="G49" s="18"/>
    </row>
    <row r="50" customFormat="false" ht="43.5" hidden="false" customHeight="true" outlineLevel="0" collapsed="false">
      <c r="B50" s="44" t="s">
        <v>183</v>
      </c>
      <c r="C50" s="63" t="s">
        <v>184</v>
      </c>
      <c r="D50" s="44" t="s">
        <v>124</v>
      </c>
      <c r="E50" s="64"/>
      <c r="F50" s="30" t="str">
        <f aca="false">IF(C50="","",IF(E50&lt;&gt;"",HYPERLINK(E50,"▶ Mi vídeo"),HYPERLINK("https://www.youtube.com/results?search_query="&amp;SUBSTITUTE(TRIM(C50)," ","+")&amp;"+técnica","▶ Ver vídeo")))</f>
        <v>▶ Ver vídeo</v>
      </c>
      <c r="G50" s="13"/>
    </row>
    <row r="51" customFormat="false" ht="43.5" hidden="false" customHeight="true" outlineLevel="0" collapsed="false">
      <c r="B51" s="39" t="s">
        <v>183</v>
      </c>
      <c r="C51" s="65" t="s">
        <v>185</v>
      </c>
      <c r="D51" s="39" t="s">
        <v>186</v>
      </c>
      <c r="E51" s="66"/>
      <c r="F51" s="67" t="str">
        <f aca="false">IF(C51="","",IF(E51&lt;&gt;"",HYPERLINK(E51,"▶ Mi vídeo"),HYPERLINK("https://www.youtube.com/results?search_query="&amp;SUBSTITUTE(TRIM(C51)," ","+")&amp;"+técnica","▶ Ver vídeo")))</f>
        <v>▶ Ver vídeo</v>
      </c>
      <c r="G51" s="18"/>
    </row>
    <row r="52" customFormat="false" ht="43.5" hidden="false" customHeight="true" outlineLevel="0" collapsed="false">
      <c r="B52" s="44" t="s">
        <v>183</v>
      </c>
      <c r="C52" s="63" t="s">
        <v>187</v>
      </c>
      <c r="D52" s="44" t="s">
        <v>129</v>
      </c>
      <c r="E52" s="64"/>
      <c r="F52" s="30" t="str">
        <f aca="false">IF(C52="","",IF(E52&lt;&gt;"",HYPERLINK(E52,"▶ Mi vídeo"),HYPERLINK("https://www.youtube.com/results?search_query="&amp;SUBSTITUTE(TRIM(C52)," ","+")&amp;"+técnica","▶ Ver vídeo")))</f>
        <v>▶ Ver vídeo</v>
      </c>
      <c r="G52" s="13"/>
    </row>
    <row r="53" customFormat="false" ht="43.5" hidden="false" customHeight="true" outlineLevel="0" collapsed="false">
      <c r="B53" s="39" t="s">
        <v>183</v>
      </c>
      <c r="C53" s="65" t="s">
        <v>188</v>
      </c>
      <c r="D53" s="39" t="s">
        <v>189</v>
      </c>
      <c r="E53" s="66"/>
      <c r="F53" s="67" t="str">
        <f aca="false">IF(C53="","",IF(E53&lt;&gt;"",HYPERLINK(E53,"▶ Mi vídeo"),HYPERLINK("https://www.youtube.com/results?search_query="&amp;SUBSTITUTE(TRIM(C53)," ","+")&amp;"+técnica","▶ Ver vídeo")))</f>
        <v>▶ Ver vídeo</v>
      </c>
      <c r="G53" s="18"/>
    </row>
    <row r="54" customFormat="false" ht="43.5" hidden="false" customHeight="true" outlineLevel="0" collapsed="false">
      <c r="B54" s="44" t="s">
        <v>183</v>
      </c>
      <c r="C54" s="63" t="s">
        <v>190</v>
      </c>
      <c r="D54" s="44" t="s">
        <v>124</v>
      </c>
      <c r="E54" s="64"/>
      <c r="F54" s="30" t="str">
        <f aca="false">IF(C54="","",IF(E54&lt;&gt;"",HYPERLINK(E54,"▶ Mi vídeo"),HYPERLINK("https://www.youtube.com/results?search_query="&amp;SUBSTITUTE(TRIM(C54)," ","+")&amp;"+técnica","▶ Ver vídeo")))</f>
        <v>▶ Ver vídeo</v>
      </c>
      <c r="G54" s="13"/>
    </row>
    <row r="55" customFormat="false" ht="43.5" hidden="false" customHeight="true" outlineLevel="0" collapsed="false">
      <c r="B55" s="39" t="s">
        <v>191</v>
      </c>
      <c r="C55" s="65" t="s">
        <v>192</v>
      </c>
      <c r="D55" s="39" t="s">
        <v>131</v>
      </c>
      <c r="E55" s="66"/>
      <c r="F55" s="67" t="str">
        <f aca="false">IF(C55="","",IF(E55&lt;&gt;"",HYPERLINK(E55,"▶ Mi vídeo"),HYPERLINK("https://www.youtube.com/results?search_query="&amp;SUBSTITUTE(TRIM(C55)," ","+")&amp;"+técnica","▶ Ver vídeo")))</f>
        <v>▶ Ver vídeo</v>
      </c>
      <c r="G55" s="18"/>
    </row>
    <row r="56" customFormat="false" ht="43.5" hidden="false" customHeight="true" outlineLevel="0" collapsed="false">
      <c r="B56" s="44" t="s">
        <v>191</v>
      </c>
      <c r="C56" s="63" t="s">
        <v>193</v>
      </c>
      <c r="D56" s="44" t="s">
        <v>131</v>
      </c>
      <c r="E56" s="64"/>
      <c r="F56" s="30" t="str">
        <f aca="false">IF(C56="","",IF(E56&lt;&gt;"",HYPERLINK(E56,"▶ Mi vídeo"),HYPERLINK("https://www.youtube.com/results?search_query="&amp;SUBSTITUTE(TRIM(C56)," ","+")&amp;"+técnica","▶ Ver vídeo")))</f>
        <v>▶ Ver vídeo</v>
      </c>
      <c r="G56" s="13"/>
    </row>
    <row r="57" customFormat="false" ht="43.5" hidden="false" customHeight="true" outlineLevel="0" collapsed="false">
      <c r="B57" s="39" t="s">
        <v>194</v>
      </c>
      <c r="C57" s="65" t="s">
        <v>195</v>
      </c>
      <c r="D57" s="39" t="s">
        <v>133</v>
      </c>
      <c r="E57" s="66"/>
      <c r="F57" s="67" t="str">
        <f aca="false">IF(C57="","",IF(E57&lt;&gt;"",HYPERLINK(E57,"▶ Mi vídeo"),HYPERLINK("https://www.youtube.com/results?search_query="&amp;SUBSTITUTE(TRIM(C57)," ","+")&amp;"+técnica","▶ Ver vídeo")))</f>
        <v>▶ Ver vídeo</v>
      </c>
      <c r="G57" s="18"/>
    </row>
    <row r="58" customFormat="false" ht="43.5" hidden="false" customHeight="true" outlineLevel="0" collapsed="false">
      <c r="B58" s="44" t="s">
        <v>194</v>
      </c>
      <c r="C58" s="63" t="s">
        <v>196</v>
      </c>
      <c r="D58" s="44" t="s">
        <v>133</v>
      </c>
      <c r="E58" s="64"/>
      <c r="F58" s="30" t="str">
        <f aca="false">IF(C58="","",IF(E58&lt;&gt;"",HYPERLINK(E58,"▶ Mi vídeo"),HYPERLINK("https://www.youtube.com/results?search_query="&amp;SUBSTITUTE(TRIM(C58)," ","+")&amp;"+técnica","▶ Ver vídeo")))</f>
        <v>▶ Ver vídeo</v>
      </c>
      <c r="G58" s="13"/>
    </row>
    <row r="59" customFormat="false" ht="43.5" hidden="false" customHeight="true" outlineLevel="0" collapsed="false">
      <c r="B59" s="39" t="s">
        <v>194</v>
      </c>
      <c r="C59" s="65" t="s">
        <v>197</v>
      </c>
      <c r="D59" s="39" t="s">
        <v>133</v>
      </c>
      <c r="E59" s="66"/>
      <c r="F59" s="67" t="str">
        <f aca="false">IF(C59="","",IF(E59&lt;&gt;"",HYPERLINK(E59,"▶ Mi vídeo"),HYPERLINK("https://www.youtube.com/results?search_query="&amp;SUBSTITUTE(TRIM(C59)," ","+")&amp;"+técnica","▶ Ver vídeo")))</f>
        <v>▶ Ver vídeo</v>
      </c>
      <c r="G59" s="18"/>
    </row>
    <row r="60" customFormat="false" ht="43.5" hidden="false" customHeight="true" outlineLevel="0" collapsed="false">
      <c r="B60" s="44" t="s">
        <v>194</v>
      </c>
      <c r="C60" s="63" t="s">
        <v>198</v>
      </c>
      <c r="D60" s="44" t="s">
        <v>199</v>
      </c>
      <c r="E60" s="64"/>
      <c r="F60" s="30" t="str">
        <f aca="false">IF(C60="","",IF(E60&lt;&gt;"",HYPERLINK(E60,"▶ Mi vídeo"),HYPERLINK("https://www.youtube.com/results?search_query="&amp;SUBSTITUTE(TRIM(C60)," ","+")&amp;"+técnica","▶ Ver vídeo")))</f>
        <v>▶ Ver vídeo</v>
      </c>
      <c r="G60" s="13"/>
    </row>
    <row r="61" customFormat="false" ht="43.5" hidden="false" customHeight="true" outlineLevel="0" collapsed="false">
      <c r="B61" s="39" t="s">
        <v>194</v>
      </c>
      <c r="C61" s="65" t="s">
        <v>200</v>
      </c>
      <c r="D61" s="39" t="s">
        <v>201</v>
      </c>
      <c r="E61" s="66"/>
      <c r="F61" s="67" t="str">
        <f aca="false">IF(C61="","",IF(E61&lt;&gt;"",HYPERLINK(E61,"▶ Mi vídeo"),HYPERLINK("https://www.youtube.com/results?search_query="&amp;SUBSTITUTE(TRIM(C61)," ","+")&amp;"+técnica","▶ Ver vídeo")))</f>
        <v>▶ Ver vídeo</v>
      </c>
      <c r="G61" s="18"/>
    </row>
    <row r="62" customFormat="false" ht="43.5" hidden="false" customHeight="true" outlineLevel="0" collapsed="false">
      <c r="B62" s="44" t="s">
        <v>194</v>
      </c>
      <c r="C62" s="63" t="s">
        <v>202</v>
      </c>
      <c r="D62" s="44" t="s">
        <v>137</v>
      </c>
      <c r="E62" s="64"/>
      <c r="F62" s="30" t="str">
        <f aca="false">IF(C62="","",IF(E62&lt;&gt;"",HYPERLINK(E62,"▶ Mi vídeo"),HYPERLINK("https://www.youtube.com/results?search_query="&amp;SUBSTITUTE(TRIM(C62)," ","+")&amp;"+técnica","▶ Ver vídeo")))</f>
        <v>▶ Ver vídeo</v>
      </c>
      <c r="G62" s="13"/>
    </row>
    <row r="63" customFormat="false" ht="43.5" hidden="false" customHeight="true" outlineLevel="0" collapsed="false">
      <c r="B63" s="39" t="s">
        <v>194</v>
      </c>
      <c r="C63" s="65" t="s">
        <v>203</v>
      </c>
      <c r="D63" s="39" t="s">
        <v>133</v>
      </c>
      <c r="E63" s="66"/>
      <c r="F63" s="67" t="str">
        <f aca="false">IF(C63="","",IF(E63&lt;&gt;"",HYPERLINK(E63,"▶ Mi vídeo"),HYPERLINK("https://www.youtube.com/results?search_query="&amp;SUBSTITUTE(TRIM(C63)," ","+")&amp;"+técnica","▶ Ver vídeo")))</f>
        <v>▶ Ver vídeo</v>
      </c>
      <c r="G63" s="18"/>
    </row>
    <row r="64" customFormat="false" ht="43.5" hidden="false" customHeight="true" outlineLevel="0" collapsed="false">
      <c r="B64" s="44" t="s">
        <v>204</v>
      </c>
      <c r="C64" s="63" t="s">
        <v>205</v>
      </c>
      <c r="D64" s="44" t="s">
        <v>206</v>
      </c>
      <c r="E64" s="64"/>
      <c r="F64" s="30" t="str">
        <f aca="false">IF(C64="","",IF(E64&lt;&gt;"",HYPERLINK(E64,"▶ Mi vídeo"),HYPERLINK("https://www.youtube.com/results?search_query="&amp;SUBSTITUTE(TRIM(C64)," ","+")&amp;"+técnica","▶ Ver vídeo")))</f>
        <v>▶ Ver vídeo</v>
      </c>
      <c r="G64" s="13"/>
    </row>
    <row r="65" customFormat="false" ht="43.5" hidden="false" customHeight="true" outlineLevel="0" collapsed="false">
      <c r="B65" s="39" t="s">
        <v>204</v>
      </c>
      <c r="C65" s="65" t="s">
        <v>207</v>
      </c>
      <c r="D65" s="39" t="s">
        <v>208</v>
      </c>
      <c r="E65" s="66"/>
      <c r="F65" s="67" t="str">
        <f aca="false">IF(C65="","",IF(E65&lt;&gt;"",HYPERLINK(E65,"▶ Mi vídeo"),HYPERLINK("https://www.youtube.com/results?search_query="&amp;SUBSTITUTE(TRIM(C65)," ","+")&amp;"+técnica","▶ Ver vídeo")))</f>
        <v>▶ Ver vídeo</v>
      </c>
      <c r="G65" s="18"/>
    </row>
    <row r="66" customFormat="false" ht="43.5" hidden="false" customHeight="true" outlineLevel="0" collapsed="false">
      <c r="B66" s="44" t="s">
        <v>204</v>
      </c>
      <c r="C66" s="63" t="s">
        <v>209</v>
      </c>
      <c r="D66" s="44" t="s">
        <v>210</v>
      </c>
      <c r="E66" s="64"/>
      <c r="F66" s="30" t="str">
        <f aca="false">IF(C66="","",IF(E66&lt;&gt;"",HYPERLINK(E66,"▶ Mi vídeo"),HYPERLINK("https://www.youtube.com/results?search_query="&amp;SUBSTITUTE(TRIM(C66)," ","+")&amp;"+técnica","▶ Ver vídeo")))</f>
        <v>▶ Ver vídeo</v>
      </c>
      <c r="G66" s="13"/>
    </row>
    <row r="67" customFormat="false" ht="43.5" hidden="false" customHeight="true" outlineLevel="0" collapsed="false">
      <c r="B67" s="39" t="s">
        <v>204</v>
      </c>
      <c r="C67" s="65" t="s">
        <v>211</v>
      </c>
      <c r="D67" s="39" t="s">
        <v>211</v>
      </c>
      <c r="E67" s="66"/>
      <c r="F67" s="67" t="str">
        <f aca="false">IF(C67="","",IF(E67&lt;&gt;"",HYPERLINK(E67,"▶ Mi vídeo"),HYPERLINK("https://www.youtube.com/results?search_query="&amp;SUBSTITUTE(TRIM(C67)," ","+")&amp;"+técnica","▶ Ver vídeo")))</f>
        <v>▶ Ver vídeo</v>
      </c>
      <c r="G67" s="18"/>
    </row>
    <row r="68" customFormat="false" ht="43.5" hidden="false" customHeight="true" outlineLevel="0" collapsed="false">
      <c r="B68" s="44" t="s">
        <v>204</v>
      </c>
      <c r="C68" s="63" t="s">
        <v>212</v>
      </c>
      <c r="D68" s="44" t="s">
        <v>213</v>
      </c>
      <c r="E68" s="64"/>
      <c r="F68" s="30" t="str">
        <f aca="false">IF(C68="","",IF(E68&lt;&gt;"",HYPERLINK(E68,"▶ Mi vídeo"),HYPERLINK("https://www.youtube.com/results?search_query="&amp;SUBSTITUTE(TRIM(C68)," ","+")&amp;"+técnica","▶ Ver vídeo")))</f>
        <v>▶ Ver vídeo</v>
      </c>
      <c r="G68" s="13"/>
    </row>
    <row r="69" customFormat="false" ht="43.5" hidden="false" customHeight="true" outlineLevel="0" collapsed="false">
      <c r="B69" s="39" t="s">
        <v>204</v>
      </c>
      <c r="C69" s="65" t="s">
        <v>214</v>
      </c>
      <c r="D69" s="39" t="s">
        <v>215</v>
      </c>
      <c r="E69" s="66"/>
      <c r="F69" s="67" t="str">
        <f aca="false">IF(C69="","",IF(E69&lt;&gt;"",HYPERLINK(E69,"▶ Mi vídeo"),HYPERLINK("https://www.youtube.com/results?search_query="&amp;SUBSTITUTE(TRIM(C69)," ","+")&amp;"+técnica","▶ Ver vídeo")))</f>
        <v>▶ Ver vídeo</v>
      </c>
      <c r="G69" s="18"/>
    </row>
    <row r="70" customFormat="false" ht="43.5" hidden="false" customHeight="true" outlineLevel="0" collapsed="false">
      <c r="B70" s="44" t="s">
        <v>204</v>
      </c>
      <c r="C70" s="63" t="s">
        <v>216</v>
      </c>
      <c r="D70" s="44" t="s">
        <v>133</v>
      </c>
      <c r="E70" s="64"/>
      <c r="F70" s="30" t="str">
        <f aca="false">IF(C70="","",IF(E70&lt;&gt;"",HYPERLINK(E70,"▶ Mi vídeo"),HYPERLINK("https://www.youtube.com/results?search_query="&amp;SUBSTITUTE(TRIM(C70)," ","+")&amp;"+técnica","▶ Ver vídeo")))</f>
        <v>▶ Ver vídeo</v>
      </c>
      <c r="G70" s="13"/>
    </row>
    <row r="71" customFormat="false" ht="15" hidden="false" customHeight="true" outlineLevel="0" collapsed="false">
      <c r="B71" s="39"/>
      <c r="C71" s="65"/>
      <c r="D71" s="39"/>
      <c r="E71" s="66"/>
      <c r="F71" s="67" t="str">
        <f aca="false">IF(C71="","",IF(E71&lt;&gt;"",HYPERLINK(E71,"▶ Mi vídeo"),HYPERLINK("https://www.youtube.com/results?search_query="&amp;SUBSTITUTE(TRIM(C71)," ","+")&amp;"+técnica","▶ Ver vídeo")))</f>
        <v/>
      </c>
      <c r="G71" s="18"/>
    </row>
    <row r="72" customFormat="false" ht="15" hidden="false" customHeight="true" outlineLevel="0" collapsed="false">
      <c r="B72" s="44"/>
      <c r="C72" s="63"/>
      <c r="D72" s="44"/>
      <c r="E72" s="64"/>
      <c r="F72" s="30" t="str">
        <f aca="false">IF(C72="","",IF(E72&lt;&gt;"",HYPERLINK(E72,"▶ Mi vídeo"),HYPERLINK("https://www.youtube.com/results?search_query="&amp;SUBSTITUTE(TRIM(C72)," ","+")&amp;"+técnica","▶ Ver vídeo")))</f>
        <v/>
      </c>
      <c r="G72" s="13"/>
    </row>
    <row r="73" customFormat="false" ht="15" hidden="false" customHeight="true" outlineLevel="0" collapsed="false">
      <c r="B73" s="39"/>
      <c r="C73" s="65"/>
      <c r="D73" s="39"/>
      <c r="E73" s="66"/>
      <c r="F73" s="67" t="str">
        <f aca="false">IF(C73="","",IF(E73&lt;&gt;"",HYPERLINK(E73,"▶ Mi vídeo"),HYPERLINK("https://www.youtube.com/results?search_query="&amp;SUBSTITUTE(TRIM(C73)," ","+")&amp;"+técnica","▶ Ver vídeo")))</f>
        <v/>
      </c>
      <c r="G73" s="18"/>
    </row>
    <row r="74" customFormat="false" ht="15" hidden="false" customHeight="true" outlineLevel="0" collapsed="false">
      <c r="B74" s="44"/>
      <c r="C74" s="63"/>
      <c r="D74" s="44"/>
      <c r="E74" s="64"/>
      <c r="F74" s="30" t="str">
        <f aca="false">IF(C74="","",IF(E74&lt;&gt;"",HYPERLINK(E74,"▶ Mi vídeo"),HYPERLINK("https://www.youtube.com/results?search_query="&amp;SUBSTITUTE(TRIM(C74)," ","+")&amp;"+técnica","▶ Ver vídeo")))</f>
        <v/>
      </c>
      <c r="G74" s="13"/>
    </row>
    <row r="75" customFormat="false" ht="15" hidden="false" customHeight="true" outlineLevel="0" collapsed="false">
      <c r="B75" s="39"/>
      <c r="C75" s="65"/>
      <c r="D75" s="39"/>
      <c r="E75" s="66"/>
      <c r="F75" s="67" t="str">
        <f aca="false">IF(C75="","",IF(E75&lt;&gt;"",HYPERLINK(E75,"▶ Mi vídeo"),HYPERLINK("https://www.youtube.com/results?search_query="&amp;SUBSTITUTE(TRIM(C75)," ","+")&amp;"+técnica","▶ Ver vídeo")))</f>
        <v/>
      </c>
      <c r="G75" s="18"/>
    </row>
    <row r="76" customFormat="false" ht="15" hidden="false" customHeight="true" outlineLevel="0" collapsed="false">
      <c r="B76" s="44"/>
      <c r="C76" s="63"/>
      <c r="D76" s="44"/>
      <c r="E76" s="64"/>
      <c r="F76" s="30" t="str">
        <f aca="false">IF(C76="","",IF(E76&lt;&gt;"",HYPERLINK(E76,"▶ Mi vídeo"),HYPERLINK("https://www.youtube.com/results?search_query="&amp;SUBSTITUTE(TRIM(C76)," ","+")&amp;"+técnica","▶ Ver vídeo")))</f>
        <v/>
      </c>
      <c r="G76" s="13"/>
    </row>
    <row r="77" customFormat="false" ht="15" hidden="false" customHeight="true" outlineLevel="0" collapsed="false">
      <c r="B77" s="39"/>
      <c r="C77" s="65"/>
      <c r="D77" s="39"/>
      <c r="E77" s="66"/>
      <c r="F77" s="67" t="str">
        <f aca="false">IF(C77="","",IF(E77&lt;&gt;"",HYPERLINK(E77,"▶ Mi vídeo"),HYPERLINK("https://www.youtube.com/results?search_query="&amp;SUBSTITUTE(TRIM(C77)," ","+")&amp;"+técnica","▶ Ver vídeo")))</f>
        <v/>
      </c>
      <c r="G77" s="18"/>
    </row>
    <row r="78" customFormat="false" ht="15" hidden="false" customHeight="true" outlineLevel="0" collapsed="false">
      <c r="B78" s="44"/>
      <c r="C78" s="63"/>
      <c r="D78" s="44"/>
      <c r="E78" s="64"/>
      <c r="F78" s="30" t="str">
        <f aca="false">IF(C78="","",IF(E78&lt;&gt;"",HYPERLINK(E78,"▶ Mi vídeo"),HYPERLINK("https://www.youtube.com/results?search_query="&amp;SUBSTITUTE(TRIM(C78)," ","+")&amp;"+técnica","▶ Ver vídeo")))</f>
        <v/>
      </c>
      <c r="G78" s="13"/>
    </row>
    <row r="79" customFormat="false" ht="15" hidden="false" customHeight="true" outlineLevel="0" collapsed="false">
      <c r="B79" s="39"/>
      <c r="C79" s="65"/>
      <c r="D79" s="39"/>
      <c r="E79" s="66"/>
      <c r="F79" s="67" t="str">
        <f aca="false">IF(C79="","",IF(E79&lt;&gt;"",HYPERLINK(E79,"▶ Mi vídeo"),HYPERLINK("https://www.youtube.com/results?search_query="&amp;SUBSTITUTE(TRIM(C79)," ","+")&amp;"+técnica","▶ Ver vídeo")))</f>
        <v/>
      </c>
      <c r="G79" s="18"/>
    </row>
    <row r="80" customFormat="false" ht="15" hidden="false" customHeight="true" outlineLevel="0" collapsed="false">
      <c r="B80" s="44"/>
      <c r="C80" s="63"/>
      <c r="D80" s="44"/>
      <c r="E80" s="64"/>
      <c r="F80" s="30" t="str">
        <f aca="false">IF(C80="","",IF(E80&lt;&gt;"",HYPERLINK(E80,"▶ Mi vídeo"),HYPERLINK("https://www.youtube.com/results?search_query="&amp;SUBSTITUTE(TRIM(C80)," ","+")&amp;"+técnica","▶ Ver vídeo")))</f>
        <v/>
      </c>
      <c r="G80" s="13"/>
    </row>
    <row r="81" customFormat="false" ht="15" hidden="false" customHeight="true" outlineLevel="0" collapsed="false">
      <c r="B81" s="39"/>
      <c r="C81" s="65"/>
      <c r="D81" s="39"/>
      <c r="E81" s="66"/>
      <c r="F81" s="67" t="str">
        <f aca="false">IF(C81="","",IF(E81&lt;&gt;"",HYPERLINK(E81,"▶ Mi vídeo"),HYPERLINK("https://www.youtube.com/results?search_query="&amp;SUBSTITUTE(TRIM(C81)," ","+")&amp;"+técnica","▶ Ver vídeo")))</f>
        <v/>
      </c>
      <c r="G81" s="18"/>
    </row>
    <row r="82" customFormat="false" ht="15" hidden="false" customHeight="true" outlineLevel="0" collapsed="false">
      <c r="B82" s="44"/>
      <c r="C82" s="63"/>
      <c r="D82" s="44"/>
      <c r="E82" s="64"/>
      <c r="F82" s="30" t="str">
        <f aca="false">IF(C82="","",IF(E82&lt;&gt;"",HYPERLINK(E82,"▶ Mi vídeo"),HYPERLINK("https://www.youtube.com/results?search_query="&amp;SUBSTITUTE(TRIM(C82)," ","+")&amp;"+técnica","▶ Ver vídeo")))</f>
        <v/>
      </c>
      <c r="G82" s="13"/>
    </row>
    <row r="83" customFormat="false" ht="15" hidden="false" customHeight="true" outlineLevel="0" collapsed="false">
      <c r="B83" s="39"/>
      <c r="C83" s="65"/>
      <c r="D83" s="39"/>
      <c r="E83" s="66"/>
      <c r="F83" s="67" t="str">
        <f aca="false">IF(C83="","",IF(E83&lt;&gt;"",HYPERLINK(E83,"▶ Mi vídeo"),HYPERLINK("https://www.youtube.com/results?search_query="&amp;SUBSTITUTE(TRIM(C83)," ","+")&amp;"+técnica","▶ Ver vídeo")))</f>
        <v/>
      </c>
      <c r="G83" s="18"/>
    </row>
    <row r="84" customFormat="false" ht="15" hidden="false" customHeight="true" outlineLevel="0" collapsed="false">
      <c r="B84" s="44"/>
      <c r="C84" s="63"/>
      <c r="D84" s="44"/>
      <c r="E84" s="64"/>
      <c r="F84" s="30" t="str">
        <f aca="false">IF(C84="","",IF(E84&lt;&gt;"",HYPERLINK(E84,"▶ Mi vídeo"),HYPERLINK("https://www.youtube.com/results?search_query="&amp;SUBSTITUTE(TRIM(C84)," ","+")&amp;"+técnica","▶ Ver vídeo")))</f>
        <v/>
      </c>
      <c r="G84" s="13"/>
    </row>
    <row r="85" customFormat="false" ht="15" hidden="false" customHeight="true" outlineLevel="0" collapsed="false">
      <c r="B85" s="39"/>
      <c r="C85" s="65"/>
      <c r="D85" s="39"/>
      <c r="E85" s="66"/>
      <c r="F85" s="67" t="str">
        <f aca="false">IF(C85="","",IF(E85&lt;&gt;"",HYPERLINK(E85,"▶ Mi vídeo"),HYPERLINK("https://www.youtube.com/results?search_query="&amp;SUBSTITUTE(TRIM(C85)," ","+")&amp;"+técnica","▶ Ver vídeo")))</f>
        <v/>
      </c>
      <c r="G85" s="18"/>
    </row>
    <row r="86" customFormat="false" ht="15" hidden="false" customHeight="true" outlineLevel="0" collapsed="false">
      <c r="B86" s="44"/>
      <c r="C86" s="63"/>
      <c r="D86" s="44"/>
      <c r="E86" s="64"/>
      <c r="F86" s="30" t="str">
        <f aca="false">IF(C86="","",IF(E86&lt;&gt;"",HYPERLINK(E86,"▶ Mi vídeo"),HYPERLINK("https://www.youtube.com/results?search_query="&amp;SUBSTITUTE(TRIM(C86)," ","+")&amp;"+técnica","▶ Ver vídeo")))</f>
        <v/>
      </c>
      <c r="G86" s="13"/>
    </row>
    <row r="87" customFormat="false" ht="15" hidden="false" customHeight="true" outlineLevel="0" collapsed="false">
      <c r="B87" s="39"/>
      <c r="C87" s="65"/>
      <c r="D87" s="39"/>
      <c r="E87" s="66"/>
      <c r="F87" s="67" t="str">
        <f aca="false">IF(C87="","",IF(E87&lt;&gt;"",HYPERLINK(E87,"▶ Mi vídeo"),HYPERLINK("https://www.youtube.com/results?search_query="&amp;SUBSTITUTE(TRIM(C87)," ","+")&amp;"+técnica","▶ Ver vídeo")))</f>
        <v/>
      </c>
      <c r="G87" s="18"/>
    </row>
    <row r="88" customFormat="false" ht="15" hidden="false" customHeight="true" outlineLevel="0" collapsed="false">
      <c r="B88" s="44"/>
      <c r="C88" s="63"/>
      <c r="D88" s="44"/>
      <c r="E88" s="64"/>
      <c r="F88" s="30" t="str">
        <f aca="false">IF(C88="","",IF(E88&lt;&gt;"",HYPERLINK(E88,"▶ Mi vídeo"),HYPERLINK("https://www.youtube.com/results?search_query="&amp;SUBSTITUTE(TRIM(C88)," ","+")&amp;"+técnica","▶ Ver vídeo")))</f>
        <v/>
      </c>
      <c r="G88" s="13"/>
    </row>
    <row r="89" customFormat="false" ht="15" hidden="false" customHeight="true" outlineLevel="0" collapsed="false">
      <c r="B89" s="39"/>
      <c r="C89" s="65"/>
      <c r="D89" s="39"/>
      <c r="E89" s="66"/>
      <c r="F89" s="67" t="str">
        <f aca="false">IF(C89="","",IF(E89&lt;&gt;"",HYPERLINK(E89,"▶ Mi vídeo"),HYPERLINK("https://www.youtube.com/results?search_query="&amp;SUBSTITUTE(TRIM(C89)," ","+")&amp;"+técnica","▶ Ver vídeo")))</f>
        <v/>
      </c>
      <c r="G89" s="18"/>
    </row>
    <row r="90" customFormat="false" ht="15" hidden="false" customHeight="true" outlineLevel="0" collapsed="false">
      <c r="B90" s="44"/>
      <c r="C90" s="63"/>
      <c r="D90" s="44"/>
      <c r="E90" s="64"/>
      <c r="F90" s="30" t="str">
        <f aca="false">IF(C90="","",IF(E90&lt;&gt;"",HYPERLINK(E90,"▶ Mi vídeo"),HYPERLINK("https://www.youtube.com/results?search_query="&amp;SUBSTITUTE(TRIM(C90)," ","+")&amp;"+técnica","▶ Ver vídeo")))</f>
        <v/>
      </c>
      <c r="G90" s="13"/>
    </row>
    <row r="91" customFormat="false" ht="15" hidden="false" customHeight="true" outlineLevel="0" collapsed="false">
      <c r="B91" s="39"/>
      <c r="C91" s="65"/>
      <c r="D91" s="39"/>
      <c r="E91" s="66"/>
      <c r="F91" s="67" t="str">
        <f aca="false">IF(C91="","",IF(E91&lt;&gt;"",HYPERLINK(E91,"▶ Mi vídeo"),HYPERLINK("https://www.youtube.com/results?search_query="&amp;SUBSTITUTE(TRIM(C91)," ","+")&amp;"+técnica","▶ Ver vídeo")))</f>
        <v/>
      </c>
      <c r="G91" s="18"/>
    </row>
    <row r="92" customFormat="false" ht="15" hidden="false" customHeight="true" outlineLevel="0" collapsed="false">
      <c r="B92" s="44"/>
      <c r="C92" s="63"/>
      <c r="D92" s="44"/>
      <c r="E92" s="64"/>
      <c r="F92" s="30" t="str">
        <f aca="false">IF(C92="","",IF(E92&lt;&gt;"",HYPERLINK(E92,"▶ Mi vídeo"),HYPERLINK("https://www.youtube.com/results?search_query="&amp;SUBSTITUTE(TRIM(C92)," ","+")&amp;"+técnica","▶ Ver vídeo")))</f>
        <v/>
      </c>
      <c r="G92" s="13"/>
    </row>
    <row r="93" customFormat="false" ht="15" hidden="false" customHeight="true" outlineLevel="0" collapsed="false">
      <c r="B93" s="39"/>
      <c r="C93" s="65"/>
      <c r="D93" s="39"/>
      <c r="E93" s="66"/>
      <c r="F93" s="67" t="str">
        <f aca="false">IF(C93="","",IF(E93&lt;&gt;"",HYPERLINK(E93,"▶ Mi vídeo"),HYPERLINK("https://www.youtube.com/results?search_query="&amp;SUBSTITUTE(TRIM(C93)," ","+")&amp;"+técnica","▶ Ver vídeo")))</f>
        <v/>
      </c>
      <c r="G93" s="18"/>
    </row>
    <row r="94" customFormat="false" ht="15" hidden="false" customHeight="true" outlineLevel="0" collapsed="false">
      <c r="B94" s="44"/>
      <c r="C94" s="63"/>
      <c r="D94" s="44"/>
      <c r="E94" s="64"/>
      <c r="F94" s="30" t="str">
        <f aca="false">IF(C94="","",IF(E94&lt;&gt;"",HYPERLINK(E94,"▶ Mi vídeo"),HYPERLINK("https://www.youtube.com/results?search_query="&amp;SUBSTITUTE(TRIM(C94)," ","+")&amp;"+técnica","▶ Ver vídeo")))</f>
        <v/>
      </c>
      <c r="G94" s="13"/>
    </row>
    <row r="95" customFormat="false" ht="15" hidden="false" customHeight="true" outlineLevel="0" collapsed="false">
      <c r="B95" s="39"/>
      <c r="C95" s="65"/>
      <c r="D95" s="39"/>
      <c r="E95" s="66"/>
      <c r="F95" s="67" t="str">
        <f aca="false">IF(C95="","",IF(E95&lt;&gt;"",HYPERLINK(E95,"▶ Mi vídeo"),HYPERLINK("https://www.youtube.com/results?search_query="&amp;SUBSTITUTE(TRIM(C95)," ","+")&amp;"+técnica","▶ Ver vídeo")))</f>
        <v/>
      </c>
      <c r="G95" s="18"/>
    </row>
    <row r="96" customFormat="false" ht="15" hidden="false" customHeight="true" outlineLevel="0" collapsed="false">
      <c r="B96" s="44"/>
      <c r="C96" s="63"/>
      <c r="D96" s="44"/>
      <c r="E96" s="64"/>
      <c r="F96" s="30" t="str">
        <f aca="false">IF(C96="","",IF(E96&lt;&gt;"",HYPERLINK(E96,"▶ Mi vídeo"),HYPERLINK("https://www.youtube.com/results?search_query="&amp;SUBSTITUTE(TRIM(C96)," ","+")&amp;"+técnica","▶ Ver vídeo")))</f>
        <v/>
      </c>
      <c r="G96" s="13"/>
    </row>
    <row r="97" customFormat="false" ht="15" hidden="false" customHeight="true" outlineLevel="0" collapsed="false">
      <c r="B97" s="39"/>
      <c r="C97" s="65"/>
      <c r="D97" s="39"/>
      <c r="E97" s="66"/>
      <c r="F97" s="67" t="str">
        <f aca="false">IF(C97="","",IF(E97&lt;&gt;"",HYPERLINK(E97,"▶ Mi vídeo"),HYPERLINK("https://www.youtube.com/results?search_query="&amp;SUBSTITUTE(TRIM(C97)," ","+")&amp;"+técnica","▶ Ver vídeo")))</f>
        <v/>
      </c>
      <c r="G97" s="18"/>
    </row>
    <row r="98" customFormat="false" ht="15" hidden="false" customHeight="true" outlineLevel="0" collapsed="false">
      <c r="B98" s="44"/>
      <c r="C98" s="63"/>
      <c r="D98" s="44"/>
      <c r="E98" s="64"/>
      <c r="F98" s="30" t="str">
        <f aca="false">IF(C98="","",IF(E98&lt;&gt;"",HYPERLINK(E98,"▶ Mi vídeo"),HYPERLINK("https://www.youtube.com/results?search_query="&amp;SUBSTITUTE(TRIM(C98)," ","+")&amp;"+técnica","▶ Ver vídeo")))</f>
        <v/>
      </c>
      <c r="G98" s="13"/>
    </row>
    <row r="99" customFormat="false" ht="15" hidden="false" customHeight="true" outlineLevel="0" collapsed="false">
      <c r="B99" s="39"/>
      <c r="C99" s="65"/>
      <c r="D99" s="39"/>
      <c r="E99" s="66"/>
      <c r="F99" s="67" t="str">
        <f aca="false">IF(C99="","",IF(E99&lt;&gt;"",HYPERLINK(E99,"▶ Mi vídeo"),HYPERLINK("https://www.youtube.com/results?search_query="&amp;SUBSTITUTE(TRIM(C99)," ","+")&amp;"+técnica","▶ Ver vídeo")))</f>
        <v/>
      </c>
      <c r="G99" s="18"/>
    </row>
    <row r="100" customFormat="false" ht="15" hidden="false" customHeight="true" outlineLevel="0" collapsed="false">
      <c r="B100" s="44"/>
      <c r="C100" s="63"/>
      <c r="D100" s="44"/>
      <c r="E100" s="64"/>
      <c r="F100" s="30" t="str">
        <f aca="false">IF(C100="","",IF(E100&lt;&gt;"",HYPERLINK(E100,"▶ Mi vídeo"),HYPERLINK("https://www.youtube.com/results?search_query="&amp;SUBSTITUTE(TRIM(C100)," ","+")&amp;"+técnica","▶ Ver vídeo")))</f>
        <v/>
      </c>
      <c r="G100" s="13"/>
    </row>
    <row r="101" customFormat="false" ht="15" hidden="false" customHeight="true" outlineLevel="0" collapsed="false">
      <c r="B101" s="39"/>
      <c r="C101" s="65"/>
      <c r="D101" s="39"/>
      <c r="E101" s="66"/>
      <c r="F101" s="67" t="str">
        <f aca="false">IF(C101="","",IF(E101&lt;&gt;"",HYPERLINK(E101,"▶ Mi vídeo"),HYPERLINK("https://www.youtube.com/results?search_query="&amp;SUBSTITUTE(TRIM(C101)," ","+")&amp;"+técnica","▶ Ver vídeo")))</f>
        <v/>
      </c>
      <c r="G101" s="18"/>
    </row>
    <row r="102" customFormat="false" ht="15" hidden="false" customHeight="true" outlineLevel="0" collapsed="false">
      <c r="B102" s="44"/>
      <c r="C102" s="63"/>
      <c r="D102" s="44"/>
      <c r="E102" s="64"/>
      <c r="F102" s="30" t="str">
        <f aca="false">IF(C102="","",IF(E102&lt;&gt;"",HYPERLINK(E102,"▶ Mi vídeo"),HYPERLINK("https://www.youtube.com/results?search_query="&amp;SUBSTITUTE(TRIM(C102)," ","+")&amp;"+técnica","▶ Ver vídeo")))</f>
        <v/>
      </c>
      <c r="G102" s="13"/>
    </row>
    <row r="103" customFormat="false" ht="15" hidden="false" customHeight="true" outlineLevel="0" collapsed="false">
      <c r="B103" s="39"/>
      <c r="C103" s="65"/>
      <c r="D103" s="39"/>
      <c r="E103" s="66"/>
      <c r="F103" s="67" t="str">
        <f aca="false">IF(C103="","",IF(E103&lt;&gt;"",HYPERLINK(E103,"▶ Mi vídeo"),HYPERLINK("https://www.youtube.com/results?search_query="&amp;SUBSTITUTE(TRIM(C103)," ","+")&amp;"+técnica","▶ Ver vídeo")))</f>
        <v/>
      </c>
      <c r="G103" s="18"/>
    </row>
    <row r="104" customFormat="false" ht="15" hidden="false" customHeight="true" outlineLevel="0" collapsed="false">
      <c r="B104" s="44"/>
      <c r="C104" s="63"/>
      <c r="D104" s="44"/>
      <c r="E104" s="64"/>
      <c r="F104" s="30" t="str">
        <f aca="false">IF(C104="","",IF(E104&lt;&gt;"",HYPERLINK(E104,"▶ Mi vídeo"),HYPERLINK("https://www.youtube.com/results?search_query="&amp;SUBSTITUTE(TRIM(C104)," ","+")&amp;"+técnica","▶ Ver vídeo")))</f>
        <v/>
      </c>
      <c r="G104" s="13"/>
    </row>
    <row r="105" customFormat="false" ht="15" hidden="false" customHeight="true" outlineLevel="0" collapsed="false">
      <c r="B105" s="39"/>
      <c r="C105" s="65"/>
      <c r="D105" s="39"/>
      <c r="E105" s="66"/>
      <c r="F105" s="67" t="str">
        <f aca="false">IF(C105="","",IF(E105&lt;&gt;"",HYPERLINK(E105,"▶ Mi vídeo"),HYPERLINK("https://www.youtube.com/results?search_query="&amp;SUBSTITUTE(TRIM(C105)," ","+")&amp;"+técnica","▶ Ver vídeo")))</f>
        <v/>
      </c>
      <c r="G105" s="18"/>
    </row>
    <row r="106" customFormat="false" ht="15" hidden="false" customHeight="true" outlineLevel="0" collapsed="false">
      <c r="B106" s="44"/>
      <c r="C106" s="63"/>
      <c r="D106" s="44"/>
      <c r="E106" s="64"/>
      <c r="F106" s="30" t="str">
        <f aca="false">IF(C106="","",IF(E106&lt;&gt;"",HYPERLINK(E106,"▶ Mi vídeo"),HYPERLINK("https://www.youtube.com/results?search_query="&amp;SUBSTITUTE(TRIM(C106)," ","+")&amp;"+técnica","▶ Ver vídeo")))</f>
        <v/>
      </c>
      <c r="G106" s="13"/>
    </row>
    <row r="107" customFormat="false" ht="15" hidden="false" customHeight="true" outlineLevel="0" collapsed="false">
      <c r="B107" s="39"/>
      <c r="C107" s="65"/>
      <c r="D107" s="39"/>
      <c r="E107" s="66"/>
      <c r="F107" s="67" t="str">
        <f aca="false">IF(C107="","",IF(E107&lt;&gt;"",HYPERLINK(E107,"▶ Mi vídeo"),HYPERLINK("https://www.youtube.com/results?search_query="&amp;SUBSTITUTE(TRIM(C107)," ","+")&amp;"+técnica","▶ Ver vídeo")))</f>
        <v/>
      </c>
      <c r="G107" s="18"/>
    </row>
    <row r="108" customFormat="false" ht="15" hidden="false" customHeight="true" outlineLevel="0" collapsed="false">
      <c r="B108" s="44"/>
      <c r="C108" s="63"/>
      <c r="D108" s="44"/>
      <c r="E108" s="64"/>
      <c r="F108" s="30" t="str">
        <f aca="false">IF(C108="","",IF(E108&lt;&gt;"",HYPERLINK(E108,"▶ Mi vídeo"),HYPERLINK("https://www.youtube.com/results?search_query="&amp;SUBSTITUTE(TRIM(C108)," ","+")&amp;"+técnica","▶ Ver vídeo")))</f>
        <v/>
      </c>
      <c r="G108" s="13"/>
    </row>
    <row r="109" customFormat="false" ht="15" hidden="false" customHeight="true" outlineLevel="0" collapsed="false">
      <c r="B109" s="39"/>
      <c r="C109" s="65"/>
      <c r="D109" s="39"/>
      <c r="E109" s="66"/>
      <c r="F109" s="67" t="str">
        <f aca="false">IF(C109="","",IF(E109&lt;&gt;"",HYPERLINK(E109,"▶ Mi vídeo"),HYPERLINK("https://www.youtube.com/results?search_query="&amp;SUBSTITUTE(TRIM(C109)," ","+")&amp;"+técnica","▶ Ver vídeo")))</f>
        <v/>
      </c>
      <c r="G109" s="18"/>
    </row>
    <row r="110" customFormat="false" ht="15" hidden="false" customHeight="true" outlineLevel="0" collapsed="false">
      <c r="B110" s="44"/>
      <c r="C110" s="63"/>
      <c r="D110" s="44"/>
      <c r="E110" s="64"/>
      <c r="F110" s="30" t="str">
        <f aca="false">IF(C110="","",IF(E110&lt;&gt;"",HYPERLINK(E110,"▶ Mi vídeo"),HYPERLINK("https://www.youtube.com/results?search_query="&amp;SUBSTITUTE(TRIM(C110)," ","+")&amp;"+técnica","▶ Ver vídeo")))</f>
        <v/>
      </c>
      <c r="G110" s="13"/>
    </row>
    <row r="111" customFormat="false" ht="15" hidden="false" customHeight="true" outlineLevel="0" collapsed="false">
      <c r="B111" s="39"/>
      <c r="C111" s="65"/>
      <c r="D111" s="39"/>
      <c r="E111" s="66"/>
      <c r="F111" s="67" t="str">
        <f aca="false">IF(C111="","",IF(E111&lt;&gt;"",HYPERLINK(E111,"▶ Mi vídeo"),HYPERLINK("https://www.youtube.com/results?search_query="&amp;SUBSTITUTE(TRIM(C111)," ","+")&amp;"+técnica","▶ Ver vídeo")))</f>
        <v/>
      </c>
      <c r="G111" s="18"/>
    </row>
    <row r="112" customFormat="false" ht="15" hidden="false" customHeight="true" outlineLevel="0" collapsed="false">
      <c r="B112" s="44"/>
      <c r="C112" s="63"/>
      <c r="D112" s="44"/>
      <c r="E112" s="64"/>
      <c r="F112" s="30" t="str">
        <f aca="false">IF(C112="","",IF(E112&lt;&gt;"",HYPERLINK(E112,"▶ Mi vídeo"),HYPERLINK("https://www.youtube.com/results?search_query="&amp;SUBSTITUTE(TRIM(C112)," ","+")&amp;"+técnica","▶ Ver vídeo")))</f>
        <v/>
      </c>
      <c r="G112" s="13"/>
    </row>
    <row r="113" customFormat="false" ht="15" hidden="false" customHeight="true" outlineLevel="0" collapsed="false">
      <c r="B113" s="39"/>
      <c r="C113" s="65"/>
      <c r="D113" s="39"/>
      <c r="E113" s="66"/>
      <c r="F113" s="67" t="str">
        <f aca="false">IF(C113="","",IF(E113&lt;&gt;"",HYPERLINK(E113,"▶ Mi vídeo"),HYPERLINK("https://www.youtube.com/results?search_query="&amp;SUBSTITUTE(TRIM(C113)," ","+")&amp;"+técnica","▶ Ver vídeo")))</f>
        <v/>
      </c>
      <c r="G113" s="18"/>
    </row>
    <row r="114" customFormat="false" ht="15" hidden="false" customHeight="true" outlineLevel="0" collapsed="false">
      <c r="B114" s="44"/>
      <c r="C114" s="63"/>
      <c r="D114" s="44"/>
      <c r="E114" s="64"/>
      <c r="F114" s="30" t="str">
        <f aca="false">IF(C114="","",IF(E114&lt;&gt;"",HYPERLINK(E114,"▶ Mi vídeo"),HYPERLINK("https://www.youtube.com/results?search_query="&amp;SUBSTITUTE(TRIM(C114)," ","+")&amp;"+técnica","▶ Ver vídeo")))</f>
        <v/>
      </c>
      <c r="G114" s="13"/>
    </row>
    <row r="115" customFormat="false" ht="15" hidden="false" customHeight="true" outlineLevel="0" collapsed="false">
      <c r="B115" s="39"/>
      <c r="C115" s="65"/>
      <c r="D115" s="39"/>
      <c r="E115" s="66"/>
      <c r="F115" s="67" t="str">
        <f aca="false">IF(C115="","",IF(E115&lt;&gt;"",HYPERLINK(E115,"▶ Mi vídeo"),HYPERLINK("https://www.youtube.com/results?search_query="&amp;SUBSTITUTE(TRIM(C115)," ","+")&amp;"+técnica","▶ Ver vídeo")))</f>
        <v/>
      </c>
      <c r="G115" s="18"/>
    </row>
    <row r="116" customFormat="false" ht="15" hidden="false" customHeight="true" outlineLevel="0" collapsed="false">
      <c r="B116" s="44"/>
      <c r="C116" s="63"/>
      <c r="D116" s="44"/>
      <c r="E116" s="64"/>
      <c r="F116" s="30" t="str">
        <f aca="false">IF(C116="","",IF(E116&lt;&gt;"",HYPERLINK(E116,"▶ Mi vídeo"),HYPERLINK("https://www.youtube.com/results?search_query="&amp;SUBSTITUTE(TRIM(C116)," ","+")&amp;"+técnica","▶ Ver vídeo")))</f>
        <v/>
      </c>
      <c r="G116" s="13"/>
    </row>
    <row r="117" customFormat="false" ht="15" hidden="false" customHeight="true" outlineLevel="0" collapsed="false">
      <c r="B117" s="39"/>
      <c r="C117" s="65"/>
      <c r="D117" s="39"/>
      <c r="E117" s="66"/>
      <c r="F117" s="67" t="str">
        <f aca="false">IF(C117="","",IF(E117&lt;&gt;"",HYPERLINK(E117,"▶ Mi vídeo"),HYPERLINK("https://www.youtube.com/results?search_query="&amp;SUBSTITUTE(TRIM(C117)," ","+")&amp;"+técnica","▶ Ver vídeo")))</f>
        <v/>
      </c>
      <c r="G117" s="18"/>
    </row>
    <row r="118" customFormat="false" ht="15" hidden="false" customHeight="true" outlineLevel="0" collapsed="false">
      <c r="B118" s="44"/>
      <c r="C118" s="63"/>
      <c r="D118" s="44"/>
      <c r="E118" s="64"/>
      <c r="F118" s="30" t="str">
        <f aca="false">IF(C118="","",IF(E118&lt;&gt;"",HYPERLINK(E118,"▶ Mi vídeo"),HYPERLINK("https://www.youtube.com/results?search_query="&amp;SUBSTITUTE(TRIM(C118)," ","+")&amp;"+técnica","▶ Ver vídeo")))</f>
        <v/>
      </c>
      <c r="G118" s="13"/>
    </row>
    <row r="119" customFormat="false" ht="15" hidden="false" customHeight="true" outlineLevel="0" collapsed="false">
      <c r="B119" s="39"/>
      <c r="C119" s="65"/>
      <c r="D119" s="39"/>
      <c r="E119" s="66"/>
      <c r="F119" s="67" t="str">
        <f aca="false">IF(C119="","",IF(E119&lt;&gt;"",HYPERLINK(E119,"▶ Mi vídeo"),HYPERLINK("https://www.youtube.com/results?search_query="&amp;SUBSTITUTE(TRIM(C119)," ","+")&amp;"+técnica","▶ Ver vídeo")))</f>
        <v/>
      </c>
      <c r="G119" s="18"/>
    </row>
    <row r="120" customFormat="false" ht="15" hidden="false" customHeight="true" outlineLevel="0" collapsed="false">
      <c r="B120" s="44"/>
      <c r="C120" s="63"/>
      <c r="D120" s="44"/>
      <c r="E120" s="64"/>
      <c r="F120" s="30" t="str">
        <f aca="false">IF(C120="","",IF(E120&lt;&gt;"",HYPERLINK(E120,"▶ Mi vídeo"),HYPERLINK("https://www.youtube.com/results?search_query="&amp;SUBSTITUTE(TRIM(C120)," ","+")&amp;"+técnica","▶ Ver vídeo")))</f>
        <v/>
      </c>
      <c r="G120" s="13"/>
    </row>
    <row r="121" customFormat="false" ht="15" hidden="false" customHeight="true" outlineLevel="0" collapsed="false">
      <c r="B121" s="39"/>
      <c r="C121" s="65"/>
      <c r="D121" s="39"/>
      <c r="E121" s="66"/>
      <c r="F121" s="67" t="str">
        <f aca="false">IF(C121="","",IF(E121&lt;&gt;"",HYPERLINK(E121,"▶ Mi vídeo"),HYPERLINK("https://www.youtube.com/results?search_query="&amp;SUBSTITUTE(TRIM(C121)," ","+")&amp;"+técnica","▶ Ver vídeo")))</f>
        <v/>
      </c>
      <c r="G121" s="18"/>
    </row>
    <row r="122" customFormat="false" ht="15" hidden="false" customHeight="true" outlineLevel="0" collapsed="false">
      <c r="B122" s="44"/>
      <c r="C122" s="63"/>
      <c r="D122" s="44"/>
      <c r="E122" s="64"/>
      <c r="F122" s="30" t="str">
        <f aca="false">IF(C122="","",IF(E122&lt;&gt;"",HYPERLINK(E122,"▶ Mi vídeo"),HYPERLINK("https://www.youtube.com/results?search_query="&amp;SUBSTITUTE(TRIM(C122)," ","+")&amp;"+técnica","▶ Ver vídeo")))</f>
        <v/>
      </c>
      <c r="G122" s="13"/>
    </row>
    <row r="123" customFormat="false" ht="15" hidden="false" customHeight="true" outlineLevel="0" collapsed="false">
      <c r="B123" s="39"/>
      <c r="C123" s="65"/>
      <c r="D123" s="39"/>
      <c r="E123" s="66"/>
      <c r="F123" s="67" t="str">
        <f aca="false">IF(C123="","",IF(E123&lt;&gt;"",HYPERLINK(E123,"▶ Mi vídeo"),HYPERLINK("https://www.youtube.com/results?search_query="&amp;SUBSTITUTE(TRIM(C123)," ","+")&amp;"+técnica","▶ Ver vídeo")))</f>
        <v/>
      </c>
      <c r="G123" s="18"/>
    </row>
    <row r="124" customFormat="false" ht="15" hidden="false" customHeight="true" outlineLevel="0" collapsed="false">
      <c r="B124" s="44"/>
      <c r="C124" s="63"/>
      <c r="D124" s="44"/>
      <c r="E124" s="64"/>
      <c r="F124" s="30" t="str">
        <f aca="false">IF(C124="","",IF(E124&lt;&gt;"",HYPERLINK(E124,"▶ Mi vídeo"),HYPERLINK("https://www.youtube.com/results?search_query="&amp;SUBSTITUTE(TRIM(C124)," ","+")&amp;"+técnica","▶ Ver vídeo")))</f>
        <v/>
      </c>
      <c r="G124" s="13"/>
    </row>
    <row r="125" customFormat="false" ht="15" hidden="false" customHeight="true" outlineLevel="0" collapsed="false">
      <c r="B125" s="39"/>
      <c r="C125" s="65"/>
      <c r="D125" s="39"/>
      <c r="E125" s="66"/>
      <c r="F125" s="67" t="str">
        <f aca="false">IF(C125="","",IF(E125&lt;&gt;"",HYPERLINK(E125,"▶ Mi vídeo"),HYPERLINK("https://www.youtube.com/results?search_query="&amp;SUBSTITUTE(TRIM(C125)," ","+")&amp;"+técnica","▶ Ver vídeo")))</f>
        <v/>
      </c>
      <c r="G125" s="18"/>
    </row>
    <row r="126" customFormat="false" ht="15" hidden="false" customHeight="true" outlineLevel="0" collapsed="false">
      <c r="B126" s="44"/>
      <c r="C126" s="63"/>
      <c r="D126" s="44"/>
      <c r="E126" s="64"/>
      <c r="F126" s="30" t="str">
        <f aca="false">IF(C126="","",IF(E126&lt;&gt;"",HYPERLINK(E126,"▶ Mi vídeo"),HYPERLINK("https://www.youtube.com/results?search_query="&amp;SUBSTITUTE(TRIM(C126)," ","+")&amp;"+técnica","▶ Ver vídeo")))</f>
        <v/>
      </c>
      <c r="G126" s="13"/>
    </row>
    <row r="127" customFormat="false" ht="15" hidden="false" customHeight="true" outlineLevel="0" collapsed="false">
      <c r="B127" s="39"/>
      <c r="C127" s="65"/>
      <c r="D127" s="39"/>
      <c r="E127" s="66"/>
      <c r="F127" s="67" t="str">
        <f aca="false">IF(C127="","",IF(E127&lt;&gt;"",HYPERLINK(E127,"▶ Mi vídeo"),HYPERLINK("https://www.youtube.com/results?search_query="&amp;SUBSTITUTE(TRIM(C127)," ","+")&amp;"+técnica","▶ Ver vídeo")))</f>
        <v/>
      </c>
      <c r="G127" s="18"/>
    </row>
    <row r="128" customFormat="false" ht="15" hidden="false" customHeight="true" outlineLevel="0" collapsed="false">
      <c r="B128" s="44"/>
      <c r="C128" s="63"/>
      <c r="D128" s="44"/>
      <c r="E128" s="64"/>
      <c r="F128" s="30" t="str">
        <f aca="false">IF(C128="","",IF(E128&lt;&gt;"",HYPERLINK(E128,"▶ Mi vídeo"),HYPERLINK("https://www.youtube.com/results?search_query="&amp;SUBSTITUTE(TRIM(C128)," ","+")&amp;"+técnica","▶ Ver vídeo")))</f>
        <v/>
      </c>
      <c r="G128" s="13"/>
    </row>
    <row r="129" customFormat="false" ht="15" hidden="false" customHeight="true" outlineLevel="0" collapsed="false">
      <c r="B129" s="39"/>
      <c r="C129" s="65"/>
      <c r="D129" s="39"/>
      <c r="E129" s="66"/>
      <c r="F129" s="67" t="str">
        <f aca="false">IF(C129="","",IF(E129&lt;&gt;"",HYPERLINK(E129,"▶ Mi vídeo"),HYPERLINK("https://www.youtube.com/results?search_query="&amp;SUBSTITUTE(TRIM(C129)," ","+")&amp;"+técnica","▶ Ver vídeo")))</f>
        <v/>
      </c>
      <c r="G129" s="18"/>
    </row>
    <row r="130" customFormat="false" ht="15" hidden="false" customHeight="true" outlineLevel="0" collapsed="false">
      <c r="B130" s="44"/>
      <c r="C130" s="63"/>
      <c r="D130" s="44"/>
      <c r="E130" s="64"/>
      <c r="F130" s="30" t="str">
        <f aca="false">IF(C130="","",IF(E130&lt;&gt;"",HYPERLINK(E130,"▶ Mi vídeo"),HYPERLINK("https://www.youtube.com/results?search_query="&amp;SUBSTITUTE(TRIM(C130)," ","+")&amp;"+técnica","▶ Ver vídeo")))</f>
        <v/>
      </c>
      <c r="G130" s="13"/>
    </row>
    <row r="131" customFormat="false" ht="15" hidden="false" customHeight="true" outlineLevel="0" collapsed="false">
      <c r="B131" s="39"/>
      <c r="C131" s="65"/>
      <c r="D131" s="39"/>
      <c r="E131" s="66"/>
      <c r="F131" s="67" t="str">
        <f aca="false">IF(C131="","",IF(E131&lt;&gt;"",HYPERLINK(E131,"▶ Mi vídeo"),HYPERLINK("https://www.youtube.com/results?search_query="&amp;SUBSTITUTE(TRIM(C131)," ","+")&amp;"+técnica","▶ Ver vídeo")))</f>
        <v/>
      </c>
      <c r="G131" s="18"/>
    </row>
    <row r="132" customFormat="false" ht="15" hidden="false" customHeight="true" outlineLevel="0" collapsed="false">
      <c r="B132" s="44"/>
      <c r="C132" s="63"/>
      <c r="D132" s="44"/>
      <c r="E132" s="64"/>
      <c r="F132" s="30" t="str">
        <f aca="false">IF(C132="","",IF(E132&lt;&gt;"",HYPERLINK(E132,"▶ Mi vídeo"),HYPERLINK("https://www.youtube.com/results?search_query="&amp;SUBSTITUTE(TRIM(C132)," ","+")&amp;"+técnica","▶ Ver vídeo")))</f>
        <v/>
      </c>
      <c r="G132" s="13"/>
    </row>
    <row r="133" customFormat="false" ht="15" hidden="false" customHeight="true" outlineLevel="0" collapsed="false">
      <c r="B133" s="39"/>
      <c r="C133" s="65"/>
      <c r="D133" s="39"/>
      <c r="E133" s="66"/>
      <c r="F133" s="67" t="str">
        <f aca="false">IF(C133="","",IF(E133&lt;&gt;"",HYPERLINK(E133,"▶ Mi vídeo"),HYPERLINK("https://www.youtube.com/results?search_query="&amp;SUBSTITUTE(TRIM(C133)," ","+")&amp;"+técnica","▶ Ver vídeo")))</f>
        <v/>
      </c>
      <c r="G133" s="18"/>
    </row>
    <row r="134" customFormat="false" ht="15" hidden="false" customHeight="true" outlineLevel="0" collapsed="false">
      <c r="B134" s="44"/>
      <c r="C134" s="63"/>
      <c r="D134" s="44"/>
      <c r="E134" s="64"/>
      <c r="F134" s="30" t="str">
        <f aca="false">IF(C134="","",IF(E134&lt;&gt;"",HYPERLINK(E134,"▶ Mi vídeo"),HYPERLINK("https://www.youtube.com/results?search_query="&amp;SUBSTITUTE(TRIM(C134)," ","+")&amp;"+técnica","▶ Ver vídeo")))</f>
        <v/>
      </c>
      <c r="G134" s="13"/>
    </row>
    <row r="135" customFormat="false" ht="15" hidden="false" customHeight="true" outlineLevel="0" collapsed="false">
      <c r="B135" s="39"/>
      <c r="C135" s="65"/>
      <c r="D135" s="39"/>
      <c r="E135" s="66"/>
      <c r="F135" s="67" t="str">
        <f aca="false">IF(C135="","",IF(E135&lt;&gt;"",HYPERLINK(E135,"▶ Mi vídeo"),HYPERLINK("https://www.youtube.com/results?search_query="&amp;SUBSTITUTE(TRIM(C135)," ","+")&amp;"+técnica","▶ Ver vídeo")))</f>
        <v/>
      </c>
      <c r="G135" s="18"/>
    </row>
    <row r="136" customFormat="false" ht="15" hidden="false" customHeight="true" outlineLevel="0" collapsed="false">
      <c r="B136" s="44"/>
      <c r="C136" s="63"/>
      <c r="D136" s="44"/>
      <c r="E136" s="64"/>
      <c r="F136" s="30" t="str">
        <f aca="false">IF(C136="","",IF(E136&lt;&gt;"",HYPERLINK(E136,"▶ Mi vídeo"),HYPERLINK("https://www.youtube.com/results?search_query="&amp;SUBSTITUTE(TRIM(C136)," ","+")&amp;"+técnica","▶ Ver vídeo")))</f>
        <v/>
      </c>
      <c r="G136" s="13"/>
    </row>
    <row r="137" customFormat="false" ht="15" hidden="false" customHeight="true" outlineLevel="0" collapsed="false">
      <c r="B137" s="39"/>
      <c r="C137" s="65"/>
      <c r="D137" s="39"/>
      <c r="E137" s="66"/>
      <c r="F137" s="67" t="str">
        <f aca="false">IF(C137="","",IF(E137&lt;&gt;"",HYPERLINK(E137,"▶ Mi vídeo"),HYPERLINK("https://www.youtube.com/results?search_query="&amp;SUBSTITUTE(TRIM(C137)," ","+")&amp;"+técnica","▶ Ver vídeo")))</f>
        <v/>
      </c>
      <c r="G137" s="18"/>
    </row>
    <row r="138" customFormat="false" ht="15" hidden="false" customHeight="true" outlineLevel="0" collapsed="false">
      <c r="B138" s="44"/>
      <c r="C138" s="63"/>
      <c r="D138" s="44"/>
      <c r="E138" s="64"/>
      <c r="F138" s="30" t="str">
        <f aca="false">IF(C138="","",IF(E138&lt;&gt;"",HYPERLINK(E138,"▶ Mi vídeo"),HYPERLINK("https://www.youtube.com/results?search_query="&amp;SUBSTITUTE(TRIM(C138)," ","+")&amp;"+técnica","▶ Ver vídeo")))</f>
        <v/>
      </c>
      <c r="G138" s="13"/>
    </row>
    <row r="139" customFormat="false" ht="15" hidden="false" customHeight="true" outlineLevel="0" collapsed="false">
      <c r="B139" s="39"/>
      <c r="C139" s="65"/>
      <c r="D139" s="39"/>
      <c r="E139" s="66"/>
      <c r="F139" s="67" t="str">
        <f aca="false">IF(C139="","",IF(E139&lt;&gt;"",HYPERLINK(E139,"▶ Mi vídeo"),HYPERLINK("https://www.youtube.com/results?search_query="&amp;SUBSTITUTE(TRIM(C139)," ","+")&amp;"+técnica","▶ Ver vídeo")))</f>
        <v/>
      </c>
      <c r="G139" s="18"/>
    </row>
    <row r="140" customFormat="false" ht="15" hidden="false" customHeight="true" outlineLevel="0" collapsed="false">
      <c r="B140" s="44"/>
      <c r="C140" s="63"/>
      <c r="D140" s="44"/>
      <c r="E140" s="64"/>
      <c r="F140" s="30" t="str">
        <f aca="false">IF(C140="","",IF(E140&lt;&gt;"",HYPERLINK(E140,"▶ Mi vídeo"),HYPERLINK("https://www.youtube.com/results?search_query="&amp;SUBSTITUTE(TRIM(C140)," ","+")&amp;"+técnica","▶ Ver vídeo")))</f>
        <v/>
      </c>
      <c r="G140" s="13"/>
    </row>
    <row r="141" customFormat="false" ht="15" hidden="false" customHeight="true" outlineLevel="0" collapsed="false">
      <c r="B141" s="39"/>
      <c r="C141" s="65"/>
      <c r="D141" s="39"/>
      <c r="E141" s="66"/>
      <c r="F141" s="67" t="str">
        <f aca="false">IF(C141="","",IF(E141&lt;&gt;"",HYPERLINK(E141,"▶ Mi vídeo"),HYPERLINK("https://www.youtube.com/results?search_query="&amp;SUBSTITUTE(TRIM(C141)," ","+")&amp;"+técnica","▶ Ver vídeo")))</f>
        <v/>
      </c>
      <c r="G141" s="18"/>
    </row>
    <row r="142" customFormat="false" ht="15" hidden="false" customHeight="true" outlineLevel="0" collapsed="false">
      <c r="B142" s="44"/>
      <c r="C142" s="63"/>
      <c r="D142" s="44"/>
      <c r="E142" s="64"/>
      <c r="F142" s="30" t="str">
        <f aca="false">IF(C142="","",IF(E142&lt;&gt;"",HYPERLINK(E142,"▶ Mi vídeo"),HYPERLINK("https://www.youtube.com/results?search_query="&amp;SUBSTITUTE(TRIM(C142)," ","+")&amp;"+técnica","▶ Ver vídeo")))</f>
        <v/>
      </c>
      <c r="G142" s="13"/>
    </row>
    <row r="143" customFormat="false" ht="15" hidden="false" customHeight="true" outlineLevel="0" collapsed="false">
      <c r="B143" s="39"/>
      <c r="C143" s="65"/>
      <c r="D143" s="39"/>
      <c r="E143" s="66"/>
      <c r="F143" s="67" t="str">
        <f aca="false">IF(C143="","",IF(E143&lt;&gt;"",HYPERLINK(E143,"▶ Mi vídeo"),HYPERLINK("https://www.youtube.com/results?search_query="&amp;SUBSTITUTE(TRIM(C143)," ","+")&amp;"+técnica","▶ Ver vídeo")))</f>
        <v/>
      </c>
      <c r="G143" s="18"/>
    </row>
    <row r="144" customFormat="false" ht="15" hidden="false" customHeight="true" outlineLevel="0" collapsed="false">
      <c r="B144" s="44"/>
      <c r="C144" s="63"/>
      <c r="D144" s="44"/>
      <c r="E144" s="64"/>
      <c r="F144" s="30" t="str">
        <f aca="false">IF(C144="","",IF(E144&lt;&gt;"",HYPERLINK(E144,"▶ Mi vídeo"),HYPERLINK("https://www.youtube.com/results?search_query="&amp;SUBSTITUTE(TRIM(C144)," ","+")&amp;"+técnica","▶ Ver vídeo")))</f>
        <v/>
      </c>
      <c r="G144" s="13"/>
    </row>
    <row r="145" customFormat="false" ht="15" hidden="false" customHeight="true" outlineLevel="0" collapsed="false">
      <c r="B145" s="39"/>
      <c r="C145" s="65"/>
      <c r="D145" s="39"/>
      <c r="E145" s="66"/>
      <c r="F145" s="67" t="str">
        <f aca="false">IF(C145="","",IF(E145&lt;&gt;"",HYPERLINK(E145,"▶ Mi vídeo"),HYPERLINK("https://www.youtube.com/results?search_query="&amp;SUBSTITUTE(TRIM(C145)," ","+")&amp;"+técnica","▶ Ver vídeo")))</f>
        <v/>
      </c>
      <c r="G145" s="18"/>
    </row>
    <row r="146" customFormat="false" ht="15" hidden="false" customHeight="true" outlineLevel="0" collapsed="false">
      <c r="B146" s="44"/>
      <c r="C146" s="63"/>
      <c r="D146" s="44"/>
      <c r="E146" s="64"/>
      <c r="F146" s="30" t="str">
        <f aca="false">IF(C146="","",IF(E146&lt;&gt;"",HYPERLINK(E146,"▶ Mi vídeo"),HYPERLINK("https://www.youtube.com/results?search_query="&amp;SUBSTITUTE(TRIM(C146)," ","+")&amp;"+técnica","▶ Ver vídeo")))</f>
        <v/>
      </c>
      <c r="G146" s="13"/>
    </row>
    <row r="147" customFormat="false" ht="15" hidden="false" customHeight="true" outlineLevel="0" collapsed="false">
      <c r="B147" s="39"/>
      <c r="C147" s="65"/>
      <c r="D147" s="39"/>
      <c r="E147" s="66"/>
      <c r="F147" s="67" t="str">
        <f aca="false">IF(C147="","",IF(E147&lt;&gt;"",HYPERLINK(E147,"▶ Mi vídeo"),HYPERLINK("https://www.youtube.com/results?search_query="&amp;SUBSTITUTE(TRIM(C147)," ","+")&amp;"+técnica","▶ Ver vídeo")))</f>
        <v/>
      </c>
      <c r="G147" s="18"/>
    </row>
    <row r="148" customFormat="false" ht="15" hidden="false" customHeight="true" outlineLevel="0" collapsed="false">
      <c r="B148" s="44"/>
      <c r="C148" s="63"/>
      <c r="D148" s="44"/>
      <c r="E148" s="64"/>
      <c r="F148" s="30" t="str">
        <f aca="false">IF(C148="","",IF(E148&lt;&gt;"",HYPERLINK(E148,"▶ Mi vídeo"),HYPERLINK("https://www.youtube.com/results?search_query="&amp;SUBSTITUTE(TRIM(C148)," ","+")&amp;"+técnica","▶ Ver vídeo")))</f>
        <v/>
      </c>
      <c r="G148" s="13"/>
    </row>
    <row r="149" customFormat="false" ht="15" hidden="false" customHeight="true" outlineLevel="0" collapsed="false">
      <c r="B149" s="39"/>
      <c r="C149" s="65"/>
      <c r="D149" s="39"/>
      <c r="E149" s="66"/>
      <c r="F149" s="67" t="str">
        <f aca="false">IF(C149="","",IF(E149&lt;&gt;"",HYPERLINK(E149,"▶ Mi vídeo"),HYPERLINK("https://www.youtube.com/results?search_query="&amp;SUBSTITUTE(TRIM(C149)," ","+")&amp;"+técnica","▶ Ver vídeo")))</f>
        <v/>
      </c>
      <c r="G149" s="18"/>
    </row>
    <row r="150" customFormat="false" ht="15" hidden="false" customHeight="true" outlineLevel="0" collapsed="false">
      <c r="B150" s="44"/>
      <c r="C150" s="63"/>
      <c r="D150" s="44"/>
      <c r="E150" s="64"/>
      <c r="F150" s="30" t="str">
        <f aca="false">IF(C150="","",IF(E150&lt;&gt;"",HYPERLINK(E150,"▶ Mi vídeo"),HYPERLINK("https://www.youtube.com/results?search_query="&amp;SUBSTITUTE(TRIM(C150)," ","+")&amp;"+técnica","▶ Ver vídeo")))</f>
        <v/>
      </c>
      <c r="G150" s="13"/>
    </row>
    <row r="152" customFormat="false" ht="24" hidden="false" customHeight="true" outlineLevel="0" collapsed="false">
      <c r="B152" s="59" t="s">
        <v>217</v>
      </c>
      <c r="C152" s="59"/>
      <c r="D152" s="59"/>
      <c r="E152" s="59"/>
      <c r="F152" s="59"/>
      <c r="G152" s="59"/>
    </row>
    <row r="153" customFormat="false" ht="15" hidden="false" customHeight="true" outlineLevel="0" collapsed="false">
      <c r="B153" s="59"/>
      <c r="C153" s="59"/>
      <c r="D153" s="59"/>
      <c r="E153" s="59"/>
      <c r="F153" s="59"/>
      <c r="G153" s="59"/>
    </row>
  </sheetData>
  <autoFilter ref="B5:G150"/>
  <mergeCells count="5">
    <mergeCell ref="B2:G2"/>
    <mergeCell ref="B3:G3"/>
    <mergeCell ref="C4:D4"/>
    <mergeCell ref="E4:G4"/>
    <mergeCell ref="B152:G153"/>
  </mergeCells>
  <conditionalFormatting sqref="B6:G150">
    <cfRule type="expression" priority="2" aboveAverage="0" equalAverage="0" bottom="0" percent="0" rank="0" text="" dxfId="8">
      <formula>AND($C$4&lt;&gt;"",$C6&lt;&gt;"",ISNUMBER(SEARCH($C$4,$B6&amp;" "&amp;$C6&amp;" "&amp;$D6)))</formula>
    </cfRule>
  </conditionalFormatting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Tactical Biscuit Training  ·  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2026-09-30T14:55:11Z</dcterms:created>
  <dc:creator>openpyxl</dc:creator>
  <dc:description/>
  <dc:language>en-US</dc:language>
  <cp:lastModifiedBy/>
  <dcterms:modified xsi:type="dcterms:W3CDTF">2026-10-04T14:44:21Z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